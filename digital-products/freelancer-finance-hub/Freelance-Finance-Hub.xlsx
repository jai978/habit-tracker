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up" sheetId="2" state="visible" r:id="rId2"/>
    <sheet name="Clients" sheetId="3" state="visible" r:id="rId3"/>
    <sheet name="Invoice Log" sheetId="4" state="visible" r:id="rId4"/>
    <sheet name="Invoice (Print)" sheetId="5" state="visible" r:id="rId5"/>
    <sheet name="Dashboard" sheetId="6" state="visible" r:id="rId6"/>
  </sheets>
  <definedNames>
    <definedName name="BizName">Setup!$C$5</definedName>
    <definedName name="BizEmail">Setup!$C$6</definedName>
    <definedName name="Currency">Setup!$C$7</definedName>
    <definedName name="TaxRate">Setup!$C$8</definedName>
    <definedName name="SetAsidePct">Setup!$C$9</definedName>
    <definedName name="InvoicePrefix">Setup!$C$10</definedName>
    <definedName name="StartNumber">Setup!$C$11</definedName>
    <definedName name="ClientList">Clients!$A$2:$A$100</definedName>
    <definedName name="_xlnm.Print_Area" localSheetId="4">'Invoice (Print)'!$A$1:$F$40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 mmm yyyy"/>
  </numFmts>
  <fonts count="16">
    <font>
      <name val="Calibri"/>
      <family val="2"/>
      <color theme="1"/>
      <sz val="11"/>
      <scheme val="minor"/>
    </font>
    <font>
      <name val="Calibri"/>
      <b val="1"/>
      <color rgb="001F2A44"/>
      <sz val="20"/>
    </font>
    <font>
      <name val="Calibri"/>
      <color rgb="005B6470"/>
      <sz val="11"/>
    </font>
    <font>
      <name val="Calibri"/>
      <b val="1"/>
      <color rgb="001F2A44"/>
      <sz val="11"/>
    </font>
    <font>
      <name val="Calibri"/>
      <color rgb="00222222"/>
      <sz val="11"/>
    </font>
    <font>
      <name val="Calibri"/>
      <i val="1"/>
      <color rgb="008A8F98"/>
      <sz val="10"/>
    </font>
    <font>
      <name val="Calibri"/>
      <b val="1"/>
      <color rgb="00FFFFFF"/>
      <sz val="11"/>
    </font>
    <font>
      <color rgb="00FFFFFF"/>
      <sz val="1"/>
    </font>
    <font>
      <b val="1"/>
      <color rgb="001F2A44"/>
      <sz val="16"/>
    </font>
    <font>
      <b val="1"/>
      <color rgb="002E7D6B"/>
      <sz val="22"/>
    </font>
    <font>
      <b val="1"/>
      <color rgb="001F2A44"/>
      <sz val="13"/>
    </font>
    <font>
      <b val="1"/>
      <color rgb="002E7D6B"/>
      <sz val="13"/>
    </font>
    <font>
      <i val="1"/>
      <color rgb="008A8F98"/>
    </font>
    <font>
      <b val="1"/>
      <color rgb="002E7D6B"/>
      <sz val="16"/>
    </font>
    <font>
      <b val="1"/>
      <color rgb="00F2C94C"/>
      <sz val="16"/>
    </font>
    <font>
      <b val="1"/>
      <color rgb="00E36464"/>
      <sz val="16"/>
    </font>
  </fonts>
  <fills count="4">
    <fill>
      <patternFill/>
    </fill>
    <fill>
      <patternFill patternType="gray125"/>
    </fill>
    <fill>
      <patternFill patternType="solid">
        <fgColor rgb="00EFF3F1"/>
      </patternFill>
    </fill>
    <fill>
      <patternFill patternType="solid">
        <fgColor rgb="001F2A44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0" borderId="0" applyAlignment="1" pivotButton="0" quotePrefix="0" xfId="0">
      <alignment wrapText="1"/>
    </xf>
    <xf numFmtId="9" fontId="4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166" fontId="4" fillId="0" borderId="1" pivotButton="0" quotePrefix="0" xfId="0"/>
    <xf numFmtId="9" fontId="4" fillId="0" borderId="1" pivotButton="0" quotePrefix="0" xfId="0"/>
    <xf numFmtId="0" fontId="0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6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6" fillId="3" borderId="1" pivotButton="0" quotePrefix="0" xfId="0"/>
    <xf numFmtId="164" fontId="0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4" fontId="15" fillId="0" borderId="0" pivotButton="0" quotePrefix="0" xfId="0"/>
    <xf numFmtId="9" fontId="8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8FD3B0"/>
        </patternFill>
      </fill>
    </dxf>
    <dxf>
      <fill>
        <patternFill patternType="solid">
          <fgColor rgb="00F2C94C"/>
        </patternFill>
      </fill>
    </dxf>
    <dxf>
      <fill>
        <patternFill patternType="solid">
          <fgColor rgb="00E3646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Income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'Dashboard'!C14</f>
            </strRef>
          </tx>
          <spPr>
            <a:solidFill>
              <a:srgbClr val="2E7D6B"/>
            </a:solidFill>
            <a:ln>
              <a:prstDash val="solid"/>
            </a:ln>
          </spPr>
          <cat>
            <numRef>
              <f>'Dashboard'!$B$15:$B$26</f>
            </numRef>
          </cat>
          <val>
            <numRef>
              <f>'Dashboard'!$C$15:$C$26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vs Outstanding vs Overdue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'Dashboard'!$B$29:$B$31</f>
            </numRef>
          </cat>
          <val>
            <numRef>
              <f>'Dashboard'!$C$29:$C$31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28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2">
      <c r="B2" s="1" t="inlineStr">
        <is>
          <t>Freelance Finance Hub</t>
        </is>
      </c>
    </row>
    <row r="3">
      <c r="B3" s="2" t="inlineStr">
        <is>
          <t>Invoice Generator - Income Log - Tax Set-Aside Dashboard</t>
        </is>
      </c>
    </row>
    <row r="5">
      <c r="B5" s="3" t="inlineStr"/>
    </row>
    <row r="7">
      <c r="B7" s="3" t="inlineStr">
        <is>
          <t>1. Setup tab</t>
        </is>
      </c>
    </row>
    <row r="8" ht="30" customHeight="1">
      <c r="B8" s="4" t="inlineStr">
        <is>
          <t>Enter your business name, email, currency, tax/GST rate, and the % of income you want to automatically set aside for tax. Every other tab reads from here.</t>
        </is>
      </c>
    </row>
    <row r="10">
      <c r="B10" s="3" t="inlineStr">
        <is>
          <t>2. Clients tab</t>
        </is>
      </c>
    </row>
    <row r="11" ht="30" customHeight="1">
      <c r="B11" s="4" t="inlineStr">
        <is>
          <t>Add each client once. They'll then appear in the dropdown on the Invoice Log tab.</t>
        </is>
      </c>
    </row>
    <row r="13">
      <c r="B13" s="3" t="inlineStr">
        <is>
          <t>3. Invoice Log tab</t>
        </is>
      </c>
    </row>
    <row r="14" ht="30" customHeight="1">
      <c r="B14" s="4" t="inlineStr">
        <is>
          <t>Add one row per invoice. Invoice numbers, tax and totals calculate automatically. Change Status to Paid/Unpaid/Overdue as invoices move through their lifecycle.</t>
        </is>
      </c>
    </row>
    <row r="16">
      <c r="B16" s="3" t="inlineStr">
        <is>
          <t>4. Invoice (Print) tab</t>
        </is>
      </c>
    </row>
    <row r="17" ht="30" customHeight="1">
      <c r="B17" s="4" t="inlineStr">
        <is>
          <t>Pick an invoice number from the dropdown at the top and a clean, print-ready invoice fills in automatically. Print to PDF to send to your client.</t>
        </is>
      </c>
    </row>
    <row r="19">
      <c r="B19" s="3" t="inlineStr">
        <is>
          <t>5. Dashboard tab</t>
        </is>
      </c>
    </row>
    <row r="20" ht="30" customHeight="1">
      <c r="B20" s="4" t="inlineStr">
        <is>
          <t>Shows income by month, outstanding vs paid, and exactly how much to set aside for tax this quarter, updated live from the Invoice Log.</t>
        </is>
      </c>
    </row>
    <row r="22">
      <c r="B22" s="3" t="inlineStr"/>
    </row>
    <row r="24">
      <c r="B24" s="3" t="inlineStr">
        <is>
          <t>Compatible with</t>
        </is>
      </c>
    </row>
    <row r="25" ht="30" customHeight="1">
      <c r="B25" s="4" t="inlineStr">
        <is>
          <t>Excel and Google Sheets (File &gt; Import &gt; Upload in Sheets).</t>
        </is>
      </c>
    </row>
    <row r="27">
      <c r="B27" s="3" t="inlineStr">
        <is>
          <t>Before you start</t>
        </is>
      </c>
    </row>
    <row r="28" ht="30" customHeight="1">
      <c r="B28" s="4" t="inlineStr">
        <is>
          <t>Demo data is included so you can see it working. Delete the sample rows in Clients and Invoice Log before adding your own.</t>
        </is>
      </c>
    </row>
    <row r="30">
      <c r="B30" s="3" t="inlineStr">
        <is>
          <t>Support</t>
        </is>
      </c>
    </row>
    <row r="31" ht="30" customHeight="1">
      <c r="B31" s="4" t="inlineStr">
        <is>
          <t>Questions? Message me through the marketplace and I'll help you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3" customWidth="1" min="4" max="4"/>
    <col width="60" customWidth="1" min="5" max="5"/>
  </cols>
  <sheetData>
    <row r="2">
      <c r="B2" s="1" t="inlineStr">
        <is>
          <t>Setup</t>
        </is>
      </c>
    </row>
    <row r="3">
      <c r="B3" s="2" t="inlineStr">
        <is>
          <t>Fill this in once - everything else updates automatically.</t>
        </is>
      </c>
    </row>
    <row r="5">
      <c r="B5" s="3" t="inlineStr">
        <is>
          <t>Business / Your Name</t>
        </is>
      </c>
      <c r="C5" s="5" t="inlineStr">
        <is>
          <t>Jordan Smith Design</t>
        </is>
      </c>
      <c r="E5" s="6" t="inlineStr">
        <is>
          <t>e.g. your business name or your own name as it should appear on invoices</t>
        </is>
      </c>
    </row>
    <row r="6">
      <c r="B6" s="3" t="inlineStr">
        <is>
          <t>Email</t>
        </is>
      </c>
      <c r="C6" s="5" t="inlineStr">
        <is>
          <t>hello@example.com</t>
        </is>
      </c>
      <c r="E6" s="6" t="inlineStr">
        <is>
          <t>shown on the printed invoice</t>
        </is>
      </c>
    </row>
    <row r="7">
      <c r="B7" s="3" t="inlineStr">
        <is>
          <t>Currency Symbol</t>
        </is>
      </c>
      <c r="C7" s="5" t="inlineStr">
        <is>
          <t>$</t>
        </is>
      </c>
      <c r="E7" s="6" t="inlineStr">
        <is>
          <t>e.g. $, NZ$, £, €</t>
        </is>
      </c>
    </row>
    <row r="8">
      <c r="B8" s="3" t="inlineStr">
        <is>
          <t>Invoice Tax / GST Rate</t>
        </is>
      </c>
      <c r="C8" s="7" t="n">
        <v>0</v>
      </c>
      <c r="E8" s="6" t="inlineStr">
        <is>
          <t>as a decimal, e.g. 0.15 for 15%. Use 0 if you don't charge tax on invoices</t>
        </is>
      </c>
    </row>
    <row r="9">
      <c r="B9" s="3" t="inlineStr">
        <is>
          <t>Tax Set-Aside %</t>
        </is>
      </c>
      <c r="C9" s="7" t="n">
        <v>0.25</v>
      </c>
      <c r="E9" s="6" t="inlineStr">
        <is>
          <t>portion of paid income to set aside for your own income tax, e.g. 0.25 = 25%</t>
        </is>
      </c>
    </row>
    <row r="10">
      <c r="B10" s="3" t="inlineStr">
        <is>
          <t>Invoice Number Prefix</t>
        </is>
      </c>
      <c r="C10" s="5" t="inlineStr">
        <is>
          <t>INV-</t>
        </is>
      </c>
      <c r="E10" s="6" t="inlineStr">
        <is>
          <t>e.g. INV- becomes INV-1001, INV-1002...</t>
        </is>
      </c>
    </row>
    <row r="11">
      <c r="B11" s="3" t="inlineStr">
        <is>
          <t>Starting Invoice Number</t>
        </is>
      </c>
      <c r="C11" s="5" t="n">
        <v>1001</v>
      </c>
      <c r="E11" s="6" t="inlineStr">
        <is>
          <t>the first invoice number to count up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zoomScale="10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4" customWidth="1" min="4" max="4"/>
    <col width="34" customWidth="1" min="5" max="5"/>
  </cols>
  <sheetData>
    <row r="1">
      <c r="A1" s="8" t="inlineStr">
        <is>
          <t>Client Name</t>
        </is>
      </c>
      <c r="B1" s="8" t="inlineStr">
        <is>
          <t>Contact Email</t>
        </is>
      </c>
      <c r="C1" s="8" t="inlineStr">
        <is>
          <t>Company</t>
        </is>
      </c>
      <c r="D1" s="8" t="inlineStr">
        <is>
          <t>Default Rate</t>
        </is>
      </c>
      <c r="E1" s="8" t="inlineStr">
        <is>
          <t>Notes</t>
        </is>
      </c>
    </row>
    <row r="2">
      <c r="A2" s="9" t="inlineStr">
        <is>
          <t>Aroha Digital Ltd</t>
        </is>
      </c>
      <c r="B2" s="9" t="inlineStr">
        <is>
          <t>accounts@arohadigital.co.nz</t>
        </is>
      </c>
      <c r="C2" s="9" t="inlineStr">
        <is>
          <t>Aroha Digital</t>
        </is>
      </c>
      <c r="D2" s="10" t="n">
        <v>85</v>
      </c>
      <c r="E2" s="9" t="inlineStr">
        <is>
          <t>Prefers monthly invoices</t>
        </is>
      </c>
    </row>
    <row r="3">
      <c r="A3" s="9" t="inlineStr">
        <is>
          <t>Northside Cafe</t>
        </is>
      </c>
      <c r="B3" s="9" t="inlineStr">
        <is>
          <t>owner@northsidecafe.com</t>
        </is>
      </c>
      <c r="C3" s="9" t="inlineStr">
        <is>
          <t>Northside Cafe</t>
        </is>
      </c>
      <c r="D3" s="10" t="n">
        <v>60</v>
      </c>
      <c r="E3" s="9" t="inlineStr">
        <is>
          <t>Pays via bank transfer</t>
        </is>
      </c>
    </row>
    <row r="4">
      <c r="A4" s="9" t="inlineStr">
        <is>
          <t>Kite &amp; Co</t>
        </is>
      </c>
      <c r="B4" s="9" t="inlineStr">
        <is>
          <t>finance@kiteandco.com</t>
        </is>
      </c>
      <c r="C4" s="9" t="inlineStr">
        <is>
          <t>Kite &amp; Co</t>
        </is>
      </c>
      <c r="D4" s="10" t="n">
        <v>95</v>
      </c>
      <c r="E4" s="9" t="inlineStr">
        <is>
          <t>Net 14 terms</t>
        </is>
      </c>
    </row>
    <row r="5">
      <c r="A5" s="11" t="n"/>
      <c r="B5" s="11" t="n"/>
      <c r="C5" s="11" t="n"/>
      <c r="D5" s="11" t="n"/>
      <c r="E5" s="11" t="n"/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1" t="n"/>
      <c r="B32" s="11" t="n"/>
      <c r="C32" s="11" t="n"/>
      <c r="D32" s="11" t="n"/>
      <c r="E32" s="11" t="n"/>
    </row>
    <row r="33">
      <c r="A33" s="11" t="n"/>
      <c r="B33" s="11" t="n"/>
      <c r="C33" s="11" t="n"/>
      <c r="D33" s="11" t="n"/>
      <c r="E33" s="11" t="n"/>
    </row>
    <row r="34">
      <c r="A34" s="11" t="n"/>
      <c r="B34" s="11" t="n"/>
      <c r="C34" s="11" t="n"/>
      <c r="D34" s="11" t="n"/>
      <c r="E34" s="11" t="n"/>
    </row>
    <row r="35">
      <c r="A35" s="11" t="n"/>
      <c r="B35" s="11" t="n"/>
      <c r="C35" s="11" t="n"/>
      <c r="D35" s="11" t="n"/>
      <c r="E35" s="11" t="n"/>
    </row>
    <row r="36">
      <c r="A36" s="11" t="n"/>
      <c r="B36" s="11" t="n"/>
      <c r="C36" s="11" t="n"/>
      <c r="D36" s="11" t="n"/>
      <c r="E36" s="11" t="n"/>
    </row>
    <row r="37">
      <c r="A37" s="11" t="n"/>
      <c r="B37" s="11" t="n"/>
      <c r="C37" s="11" t="n"/>
      <c r="D37" s="11" t="n"/>
      <c r="E37" s="11" t="n"/>
    </row>
    <row r="38">
      <c r="A38" s="11" t="n"/>
      <c r="B38" s="11" t="n"/>
      <c r="C38" s="11" t="n"/>
      <c r="D38" s="11" t="n"/>
      <c r="E38" s="11" t="n"/>
    </row>
    <row r="39">
      <c r="A39" s="11" t="n"/>
      <c r="B39" s="11" t="n"/>
      <c r="C39" s="11" t="n"/>
      <c r="D39" s="11" t="n"/>
      <c r="E39" s="11" t="n"/>
    </row>
    <row r="40">
      <c r="A40" s="11" t="n"/>
      <c r="B40" s="11" t="n"/>
      <c r="C40" s="11" t="n"/>
      <c r="D40" s="11" t="n"/>
      <c r="E40" s="11" t="n"/>
    </row>
    <row r="41">
      <c r="A41" s="11" t="n"/>
      <c r="B41" s="11" t="n"/>
      <c r="C41" s="11" t="n"/>
      <c r="D41" s="11" t="n"/>
      <c r="E41" s="11" t="n"/>
    </row>
    <row r="42">
      <c r="A42" s="11" t="n"/>
      <c r="B42" s="11" t="n"/>
      <c r="C42" s="11" t="n"/>
      <c r="D42" s="11" t="n"/>
      <c r="E42" s="11" t="n"/>
    </row>
    <row r="43">
      <c r="A43" s="11" t="n"/>
      <c r="B43" s="11" t="n"/>
      <c r="C43" s="11" t="n"/>
      <c r="D43" s="11" t="n"/>
      <c r="E43" s="11" t="n"/>
    </row>
    <row r="44">
      <c r="A44" s="11" t="n"/>
      <c r="B44" s="11" t="n"/>
      <c r="C44" s="11" t="n"/>
      <c r="D44" s="11" t="n"/>
      <c r="E44" s="11" t="n"/>
    </row>
    <row r="45">
      <c r="A45" s="11" t="n"/>
      <c r="B45" s="11" t="n"/>
      <c r="C45" s="11" t="n"/>
      <c r="D45" s="11" t="n"/>
      <c r="E45" s="11" t="n"/>
    </row>
    <row r="46">
      <c r="A46" s="11" t="n"/>
      <c r="B46" s="11" t="n"/>
      <c r="C46" s="11" t="n"/>
      <c r="D46" s="11" t="n"/>
      <c r="E46" s="11" t="n"/>
    </row>
    <row r="47">
      <c r="A47" s="11" t="n"/>
      <c r="B47" s="11" t="n"/>
      <c r="C47" s="11" t="n"/>
      <c r="D47" s="11" t="n"/>
      <c r="E47" s="11" t="n"/>
    </row>
    <row r="48">
      <c r="A48" s="11" t="n"/>
      <c r="B48" s="11" t="n"/>
      <c r="C48" s="11" t="n"/>
      <c r="D48" s="11" t="n"/>
      <c r="E48" s="11" t="n"/>
    </row>
    <row r="49">
      <c r="A49" s="11" t="n"/>
      <c r="B49" s="11" t="n"/>
      <c r="C49" s="11" t="n"/>
      <c r="D49" s="11" t="n"/>
      <c r="E49" s="11" t="n"/>
    </row>
    <row r="50">
      <c r="A50" s="11" t="n"/>
      <c r="B50" s="11" t="n"/>
      <c r="C50" s="11" t="n"/>
      <c r="D50" s="11" t="n"/>
      <c r="E50" s="11" t="n"/>
    </row>
    <row r="51">
      <c r="A51" s="11" t="n"/>
      <c r="B51" s="11" t="n"/>
      <c r="C51" s="11" t="n"/>
      <c r="D51" s="11" t="n"/>
      <c r="E51" s="11" t="n"/>
    </row>
    <row r="52">
      <c r="A52" s="11" t="n"/>
      <c r="B52" s="11" t="n"/>
      <c r="C52" s="11" t="n"/>
      <c r="D52" s="11" t="n"/>
      <c r="E52" s="11" t="n"/>
    </row>
    <row r="53">
      <c r="A53" s="11" t="n"/>
      <c r="B53" s="11" t="n"/>
      <c r="C53" s="11" t="n"/>
      <c r="D53" s="11" t="n"/>
      <c r="E53" s="11" t="n"/>
    </row>
    <row r="54">
      <c r="A54" s="11" t="n"/>
      <c r="B54" s="11" t="n"/>
      <c r="C54" s="11" t="n"/>
      <c r="D54" s="11" t="n"/>
      <c r="E54" s="11" t="n"/>
    </row>
    <row r="55">
      <c r="A55" s="11" t="n"/>
      <c r="B55" s="11" t="n"/>
      <c r="C55" s="11" t="n"/>
      <c r="D55" s="11" t="n"/>
      <c r="E55" s="11" t="n"/>
    </row>
    <row r="56">
      <c r="A56" s="11" t="n"/>
      <c r="B56" s="11" t="n"/>
      <c r="C56" s="11" t="n"/>
      <c r="D56" s="11" t="n"/>
      <c r="E56" s="11" t="n"/>
    </row>
    <row r="57">
      <c r="A57" s="11" t="n"/>
      <c r="B57" s="11" t="n"/>
      <c r="C57" s="11" t="n"/>
      <c r="D57" s="11" t="n"/>
      <c r="E57" s="11" t="n"/>
    </row>
    <row r="58">
      <c r="A58" s="11" t="n"/>
      <c r="B58" s="11" t="n"/>
      <c r="C58" s="11" t="n"/>
      <c r="D58" s="11" t="n"/>
      <c r="E58" s="11" t="n"/>
    </row>
    <row r="59">
      <c r="A59" s="11" t="n"/>
      <c r="B59" s="11" t="n"/>
      <c r="C59" s="11" t="n"/>
      <c r="D59" s="11" t="n"/>
      <c r="E5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0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8" customWidth="1" min="5" max="5"/>
    <col width="12" customWidth="1" min="6" max="6"/>
    <col width="10" customWidth="1" min="7" max="7"/>
    <col width="12" customWidth="1" min="8" max="8"/>
    <col width="12" customWidth="1" min="9" max="9"/>
    <col width="11" customWidth="1" min="10" max="10"/>
    <col width="12" customWidth="1" min="11" max="11"/>
    <col width="13" customWidth="1" min="12" max="12"/>
    <col hidden="1" outlineLevel="1" width="8" customWidth="1" min="13" max="14"/>
  </cols>
  <sheetData>
    <row r="1">
      <c r="A1" s="8" t="inlineStr">
        <is>
          <t>Invoice #</t>
        </is>
      </c>
      <c r="B1" s="8" t="inlineStr">
        <is>
          <t>Client</t>
        </is>
      </c>
      <c r="C1" s="8" t="inlineStr">
        <is>
          <t>Issue Date</t>
        </is>
      </c>
      <c r="D1" s="8" t="inlineStr">
        <is>
          <t>Due Date</t>
        </is>
      </c>
      <c r="E1" s="8" t="inlineStr">
        <is>
          <t>Description</t>
        </is>
      </c>
      <c r="F1" s="8" t="inlineStr">
        <is>
          <t>Amount</t>
        </is>
      </c>
      <c r="G1" s="8" t="inlineStr">
        <is>
          <t>Tax Rate</t>
        </is>
      </c>
      <c r="H1" s="8" t="inlineStr">
        <is>
          <t>Tax Amount</t>
        </is>
      </c>
      <c r="I1" s="8" t="inlineStr">
        <is>
          <t>Total</t>
        </is>
      </c>
      <c r="J1" s="8" t="inlineStr">
        <is>
          <t>Status</t>
        </is>
      </c>
      <c r="K1" s="8" t="inlineStr">
        <is>
          <t>Date Paid</t>
        </is>
      </c>
      <c r="L1" s="8" t="inlineStr">
        <is>
          <t>Days Overdue</t>
        </is>
      </c>
      <c r="M1" s="8" t="inlineStr">
        <is>
          <t>Month</t>
        </is>
      </c>
      <c r="N1" s="8" t="inlineStr">
        <is>
          <t>Year</t>
        </is>
      </c>
    </row>
    <row r="2">
      <c r="A2" s="9">
        <f>IF(B2="","",InvoicePrefix&amp;TEXT(StartNumber+ROW()-2,"0000"))</f>
        <v/>
      </c>
      <c r="B2" s="9" t="inlineStr">
        <is>
          <t>Aroha Digital Ltd</t>
        </is>
      </c>
      <c r="C2" s="12" t="n">
        <v>46134</v>
      </c>
      <c r="D2" s="12" t="n">
        <v>46148</v>
      </c>
      <c r="E2" s="9" t="inlineStr">
        <is>
          <t>Website maintenance - June</t>
        </is>
      </c>
      <c r="F2" s="10" t="n">
        <v>850</v>
      </c>
      <c r="G2" s="13">
        <f>TaxRate</f>
        <v/>
      </c>
      <c r="H2" s="10">
        <f>F2*G2</f>
        <v/>
      </c>
      <c r="I2" s="10">
        <f>F2+H2</f>
        <v/>
      </c>
      <c r="J2" s="9" t="inlineStr">
        <is>
          <t>Paid</t>
        </is>
      </c>
      <c r="K2" s="12" t="n">
        <v>46144</v>
      </c>
      <c r="L2" s="9">
        <f>IF(AND(J2&lt;&gt;"Paid",TODAY()&gt;D2),TODAY()-D2,0)</f>
        <v/>
      </c>
      <c r="M2" s="9">
        <f>IF(C2="","",MONTH(C2))</f>
        <v/>
      </c>
      <c r="N2" s="9">
        <f>IF(C2="","",YEAR(C2))</f>
        <v/>
      </c>
    </row>
    <row r="3">
      <c r="A3" s="9">
        <f>IF(B3="","",InvoicePrefix&amp;TEXT(StartNumber+ROW()-2,"0000"))</f>
        <v/>
      </c>
      <c r="B3" s="9" t="inlineStr">
        <is>
          <t>Northside Cafe</t>
        </is>
      </c>
      <c r="C3" s="12" t="n">
        <v>46149</v>
      </c>
      <c r="D3" s="12" t="n">
        <v>46163</v>
      </c>
      <c r="E3" s="9" t="inlineStr">
        <is>
          <t>Menu redesign</t>
        </is>
      </c>
      <c r="F3" s="10" t="n">
        <v>420</v>
      </c>
      <c r="G3" s="13">
        <f>TaxRate</f>
        <v/>
      </c>
      <c r="H3" s="10">
        <f>F3*G3</f>
        <v/>
      </c>
      <c r="I3" s="10">
        <f>F3+H3</f>
        <v/>
      </c>
      <c r="J3" s="9" t="inlineStr">
        <is>
          <t>Paid</t>
        </is>
      </c>
      <c r="K3" s="12" t="n">
        <v>46160</v>
      </c>
      <c r="L3" s="9">
        <f>IF(AND(J3&lt;&gt;"Paid",TODAY()&gt;D3),TODAY()-D3,0)</f>
        <v/>
      </c>
      <c r="M3" s="9">
        <f>IF(C3="","",MONTH(C3))</f>
        <v/>
      </c>
      <c r="N3" s="9">
        <f>IF(C3="","",YEAR(C3))</f>
        <v/>
      </c>
    </row>
    <row r="4">
      <c r="A4" s="9">
        <f>IF(B4="","",InvoicePrefix&amp;TEXT(StartNumber+ROW()-2,"0000"))</f>
        <v/>
      </c>
      <c r="B4" s="9" t="inlineStr">
        <is>
          <t>Kite &amp; Co</t>
        </is>
      </c>
      <c r="C4" s="12" t="n">
        <v>46164</v>
      </c>
      <c r="D4" s="12" t="n">
        <v>46178</v>
      </c>
      <c r="E4" s="9" t="inlineStr">
        <is>
          <t>Brand refresh - phase 1</t>
        </is>
      </c>
      <c r="F4" s="10" t="n">
        <v>1200</v>
      </c>
      <c r="G4" s="13">
        <f>TaxRate</f>
        <v/>
      </c>
      <c r="H4" s="10">
        <f>F4*G4</f>
        <v/>
      </c>
      <c r="I4" s="10">
        <f>F4+H4</f>
        <v/>
      </c>
      <c r="J4" s="9" t="inlineStr">
        <is>
          <t>Paid</t>
        </is>
      </c>
      <c r="K4" s="12" t="n">
        <v>46184</v>
      </c>
      <c r="L4" s="9">
        <f>IF(AND(J4&lt;&gt;"Paid",TODAY()&gt;D4),TODAY()-D4,0)</f>
        <v/>
      </c>
      <c r="M4" s="9">
        <f>IF(C4="","",MONTH(C4))</f>
        <v/>
      </c>
      <c r="N4" s="9">
        <f>IF(C4="","",YEAR(C4))</f>
        <v/>
      </c>
    </row>
    <row r="5">
      <c r="A5" s="9">
        <f>IF(B5="","",InvoicePrefix&amp;TEXT(StartNumber+ROW()-2,"0000"))</f>
        <v/>
      </c>
      <c r="B5" s="9" t="inlineStr">
        <is>
          <t>Aroha Digital Ltd</t>
        </is>
      </c>
      <c r="C5" s="12" t="n">
        <v>46179</v>
      </c>
      <c r="D5" s="12" t="n">
        <v>46193</v>
      </c>
      <c r="E5" s="9" t="inlineStr">
        <is>
          <t>Website maintenance - July</t>
        </is>
      </c>
      <c r="F5" s="10" t="n">
        <v>850</v>
      </c>
      <c r="G5" s="13">
        <f>TaxRate</f>
        <v/>
      </c>
      <c r="H5" s="10">
        <f>F5*G5</f>
        <v/>
      </c>
      <c r="I5" s="10">
        <f>F5+H5</f>
        <v/>
      </c>
      <c r="J5" s="9" t="inlineStr">
        <is>
          <t>Paid</t>
        </is>
      </c>
      <c r="K5" s="12" t="n">
        <v>46192</v>
      </c>
      <c r="L5" s="9">
        <f>IF(AND(J5&lt;&gt;"Paid",TODAY()&gt;D5),TODAY()-D5,0)</f>
        <v/>
      </c>
      <c r="M5" s="9">
        <f>IF(C5="","",MONTH(C5))</f>
        <v/>
      </c>
      <c r="N5" s="9">
        <f>IF(C5="","",YEAR(C5))</f>
        <v/>
      </c>
    </row>
    <row r="6">
      <c r="A6" s="9">
        <f>IF(B6="","",InvoicePrefix&amp;TEXT(StartNumber+ROW()-2,"0000"))</f>
        <v/>
      </c>
      <c r="B6" s="9" t="inlineStr">
        <is>
          <t>Northside Cafe</t>
        </is>
      </c>
      <c r="C6" s="12" t="n">
        <v>46186</v>
      </c>
      <c r="D6" s="12" t="n">
        <v>46200</v>
      </c>
      <c r="E6" s="9" t="inlineStr">
        <is>
          <t>Social media graphics pack</t>
        </is>
      </c>
      <c r="F6" s="10" t="n">
        <v>300</v>
      </c>
      <c r="G6" s="13">
        <f>TaxRate</f>
        <v/>
      </c>
      <c r="H6" s="10">
        <f>F6*G6</f>
        <v/>
      </c>
      <c r="I6" s="10">
        <f>F6+H6</f>
        <v/>
      </c>
      <c r="J6" s="9" t="inlineStr">
        <is>
          <t>Overdue</t>
        </is>
      </c>
      <c r="K6" s="12" t="n"/>
      <c r="L6" s="9">
        <f>IF(AND(J6&lt;&gt;"Paid",TODAY()&gt;D6),TODAY()-D6,0)</f>
        <v/>
      </c>
      <c r="M6" s="9">
        <f>IF(C6="","",MONTH(C6))</f>
        <v/>
      </c>
      <c r="N6" s="9">
        <f>IF(C6="","",YEAR(C6))</f>
        <v/>
      </c>
    </row>
    <row r="7">
      <c r="A7" s="9">
        <f>IF(B7="","",InvoicePrefix&amp;TEXT(StartNumber+ROW()-2,"0000"))</f>
        <v/>
      </c>
      <c r="B7" s="9" t="inlineStr">
        <is>
          <t>Kite &amp; Co</t>
        </is>
      </c>
      <c r="C7" s="12" t="n">
        <v>46194</v>
      </c>
      <c r="D7" s="12" t="n">
        <v>46208</v>
      </c>
      <c r="E7" s="9" t="inlineStr">
        <is>
          <t>Brand refresh - phase 2</t>
        </is>
      </c>
      <c r="F7" s="10" t="n">
        <v>1200</v>
      </c>
      <c r="G7" s="13">
        <f>TaxRate</f>
        <v/>
      </c>
      <c r="H7" s="10">
        <f>F7*G7</f>
        <v/>
      </c>
      <c r="I7" s="10">
        <f>F7+H7</f>
        <v/>
      </c>
      <c r="J7" s="9" t="inlineStr">
        <is>
          <t>Unpaid</t>
        </is>
      </c>
      <c r="K7" s="12" t="n"/>
      <c r="L7" s="9">
        <f>IF(AND(J7&lt;&gt;"Paid",TODAY()&gt;D7),TODAY()-D7,0)</f>
        <v/>
      </c>
      <c r="M7" s="9">
        <f>IF(C7="","",MONTH(C7))</f>
        <v/>
      </c>
      <c r="N7" s="9">
        <f>IF(C7="","",YEAR(C7))</f>
        <v/>
      </c>
    </row>
    <row r="8">
      <c r="A8" s="9">
        <f>IF(B8="","",InvoicePrefix&amp;TEXT(StartNumber+ROW()-2,"0000"))</f>
        <v/>
      </c>
      <c r="B8" s="9" t="inlineStr">
        <is>
          <t>Aroha Digital Ltd</t>
        </is>
      </c>
      <c r="C8" s="12" t="n">
        <v>46201</v>
      </c>
      <c r="D8" s="12" t="n">
        <v>46215</v>
      </c>
      <c r="E8" s="9" t="inlineStr">
        <is>
          <t>Website maintenance - August</t>
        </is>
      </c>
      <c r="F8" s="10" t="n">
        <v>850</v>
      </c>
      <c r="G8" s="13">
        <f>TaxRate</f>
        <v/>
      </c>
      <c r="H8" s="10">
        <f>F8*G8</f>
        <v/>
      </c>
      <c r="I8" s="10">
        <f>F8+H8</f>
        <v/>
      </c>
      <c r="J8" s="9" t="inlineStr">
        <is>
          <t>Unpaid</t>
        </is>
      </c>
      <c r="K8" s="12" t="n"/>
      <c r="L8" s="9">
        <f>IF(AND(J8&lt;&gt;"Paid",TODAY()&gt;D8),TODAY()-D8,0)</f>
        <v/>
      </c>
      <c r="M8" s="9">
        <f>IF(C8="","",MONTH(C8))</f>
        <v/>
      </c>
      <c r="N8" s="9">
        <f>IF(C8="","",YEAR(C8))</f>
        <v/>
      </c>
    </row>
    <row r="9">
      <c r="A9" s="9">
        <f>IF(B9="","",InvoicePrefix&amp;TEXT(StartNumber+ROW()-2,"0000"))</f>
        <v/>
      </c>
      <c r="B9" s="9" t="inlineStr">
        <is>
          <t>Aroha Digital Ltd</t>
        </is>
      </c>
      <c r="C9" s="12" t="n">
        <v>46204</v>
      </c>
      <c r="D9" s="12" t="n">
        <v>46218</v>
      </c>
      <c r="E9" s="9" t="inlineStr">
        <is>
          <t>Logo refresh - quick turnaround</t>
        </is>
      </c>
      <c r="F9" s="10" t="n">
        <v>640</v>
      </c>
      <c r="G9" s="13">
        <f>TaxRate</f>
        <v/>
      </c>
      <c r="H9" s="10">
        <f>F9*G9</f>
        <v/>
      </c>
      <c r="I9" s="10">
        <f>F9+H9</f>
        <v/>
      </c>
      <c r="J9" s="9" t="inlineStr">
        <is>
          <t>Paid</t>
        </is>
      </c>
      <c r="K9" s="12" t="n">
        <v>46204</v>
      </c>
      <c r="L9" s="9">
        <f>IF(AND(J9&lt;&gt;"Paid",TODAY()&gt;D9),TODAY()-D9,0)</f>
        <v/>
      </c>
      <c r="M9" s="9">
        <f>IF(C9="","",MONTH(C9))</f>
        <v/>
      </c>
      <c r="N9" s="9">
        <f>IF(C9="","",YEAR(C9))</f>
        <v/>
      </c>
    </row>
    <row r="10">
      <c r="A10" s="9">
        <f>IF(B10="","",InvoicePrefix&amp;TEXT(StartNumber+ROW()-2,"0000"))</f>
        <v/>
      </c>
      <c r="B10" s="9" t="n"/>
      <c r="C10" s="12" t="n"/>
      <c r="D10" s="12" t="n"/>
      <c r="E10" s="9" t="n"/>
      <c r="F10" s="10" t="n"/>
      <c r="G10" s="13">
        <f>TaxRate</f>
        <v/>
      </c>
      <c r="H10" s="10">
        <f>IF(B10="","",F10*G10)</f>
        <v/>
      </c>
      <c r="I10" s="10">
        <f>IF(B10="","",F10+H10)</f>
        <v/>
      </c>
      <c r="J10" s="9" t="n"/>
      <c r="K10" s="12" t="n"/>
      <c r="L10" s="9">
        <f>IF(B10="","",IF(AND(J10&lt;&gt;"Paid",TODAY()&gt;D10),TODAY()-D10,0))</f>
        <v/>
      </c>
      <c r="M10" s="9">
        <f>IF(C10="","",MONTH(C10))</f>
        <v/>
      </c>
      <c r="N10" s="9">
        <f>IF(C10="","",YEAR(C10))</f>
        <v/>
      </c>
    </row>
    <row r="11">
      <c r="A11" s="9">
        <f>IF(B11="","",InvoicePrefix&amp;TEXT(StartNumber+ROW()-2,"0000"))</f>
        <v/>
      </c>
      <c r="B11" s="9" t="n"/>
      <c r="C11" s="12" t="n"/>
      <c r="D11" s="12" t="n"/>
      <c r="E11" s="9" t="n"/>
      <c r="F11" s="10" t="n"/>
      <c r="G11" s="13">
        <f>TaxRate</f>
        <v/>
      </c>
      <c r="H11" s="10">
        <f>IF(B11="","",F11*G11)</f>
        <v/>
      </c>
      <c r="I11" s="10">
        <f>IF(B11="","",F11+H11)</f>
        <v/>
      </c>
      <c r="J11" s="9" t="n"/>
      <c r="K11" s="12" t="n"/>
      <c r="L11" s="9">
        <f>IF(B11="","",IF(AND(J11&lt;&gt;"Paid",TODAY()&gt;D11),TODAY()-D11,0))</f>
        <v/>
      </c>
      <c r="M11" s="9">
        <f>IF(C11="","",MONTH(C11))</f>
        <v/>
      </c>
      <c r="N11" s="9">
        <f>IF(C11="","",YEAR(C11))</f>
        <v/>
      </c>
    </row>
    <row r="12">
      <c r="A12" s="9">
        <f>IF(B12="","",InvoicePrefix&amp;TEXT(StartNumber+ROW()-2,"0000"))</f>
        <v/>
      </c>
      <c r="B12" s="9" t="n"/>
      <c r="C12" s="12" t="n"/>
      <c r="D12" s="12" t="n"/>
      <c r="E12" s="9" t="n"/>
      <c r="F12" s="10" t="n"/>
      <c r="G12" s="13">
        <f>TaxRate</f>
        <v/>
      </c>
      <c r="H12" s="10">
        <f>IF(B12="","",F12*G12)</f>
        <v/>
      </c>
      <c r="I12" s="10">
        <f>IF(B12="","",F12+H12)</f>
        <v/>
      </c>
      <c r="J12" s="9" t="n"/>
      <c r="K12" s="12" t="n"/>
      <c r="L12" s="9">
        <f>IF(B12="","",IF(AND(J12&lt;&gt;"Paid",TODAY()&gt;D12),TODAY()-D12,0))</f>
        <v/>
      </c>
      <c r="M12" s="9">
        <f>IF(C12="","",MONTH(C12))</f>
        <v/>
      </c>
      <c r="N12" s="9">
        <f>IF(C12="","",YEAR(C12))</f>
        <v/>
      </c>
    </row>
    <row r="13">
      <c r="A13" s="9">
        <f>IF(B13="","",InvoicePrefix&amp;TEXT(StartNumber+ROW()-2,"0000"))</f>
        <v/>
      </c>
      <c r="B13" s="9" t="n"/>
      <c r="C13" s="12" t="n"/>
      <c r="D13" s="12" t="n"/>
      <c r="E13" s="9" t="n"/>
      <c r="F13" s="10" t="n"/>
      <c r="G13" s="13">
        <f>TaxRate</f>
        <v/>
      </c>
      <c r="H13" s="10">
        <f>IF(B13="","",F13*G13)</f>
        <v/>
      </c>
      <c r="I13" s="10">
        <f>IF(B13="","",F13+H13)</f>
        <v/>
      </c>
      <c r="J13" s="9" t="n"/>
      <c r="K13" s="12" t="n"/>
      <c r="L13" s="9">
        <f>IF(B13="","",IF(AND(J13&lt;&gt;"Paid",TODAY()&gt;D13),TODAY()-D13,0))</f>
        <v/>
      </c>
      <c r="M13" s="9">
        <f>IF(C13="","",MONTH(C13))</f>
        <v/>
      </c>
      <c r="N13" s="9">
        <f>IF(C13="","",YEAR(C13))</f>
        <v/>
      </c>
    </row>
    <row r="14">
      <c r="A14" s="9">
        <f>IF(B14="","",InvoicePrefix&amp;TEXT(StartNumber+ROW()-2,"0000"))</f>
        <v/>
      </c>
      <c r="B14" s="9" t="n"/>
      <c r="C14" s="12" t="n"/>
      <c r="D14" s="12" t="n"/>
      <c r="E14" s="9" t="n"/>
      <c r="F14" s="10" t="n"/>
      <c r="G14" s="13">
        <f>TaxRate</f>
        <v/>
      </c>
      <c r="H14" s="10">
        <f>IF(B14="","",F14*G14)</f>
        <v/>
      </c>
      <c r="I14" s="10">
        <f>IF(B14="","",F14+H14)</f>
        <v/>
      </c>
      <c r="J14" s="9" t="n"/>
      <c r="K14" s="12" t="n"/>
      <c r="L14" s="9">
        <f>IF(B14="","",IF(AND(J14&lt;&gt;"Paid",TODAY()&gt;D14),TODAY()-D14,0))</f>
        <v/>
      </c>
      <c r="M14" s="9">
        <f>IF(C14="","",MONTH(C14))</f>
        <v/>
      </c>
      <c r="N14" s="9">
        <f>IF(C14="","",YEAR(C14))</f>
        <v/>
      </c>
    </row>
    <row r="15">
      <c r="A15" s="9">
        <f>IF(B15="","",InvoicePrefix&amp;TEXT(StartNumber+ROW()-2,"0000"))</f>
        <v/>
      </c>
      <c r="B15" s="9" t="n"/>
      <c r="C15" s="12" t="n"/>
      <c r="D15" s="12" t="n"/>
      <c r="E15" s="9" t="n"/>
      <c r="F15" s="10" t="n"/>
      <c r="G15" s="13">
        <f>TaxRate</f>
        <v/>
      </c>
      <c r="H15" s="10">
        <f>IF(B15="","",F15*G15)</f>
        <v/>
      </c>
      <c r="I15" s="10">
        <f>IF(B15="","",F15+H15)</f>
        <v/>
      </c>
      <c r="J15" s="9" t="n"/>
      <c r="K15" s="12" t="n"/>
      <c r="L15" s="9">
        <f>IF(B15="","",IF(AND(J15&lt;&gt;"Paid",TODAY()&gt;D15),TODAY()-D15,0))</f>
        <v/>
      </c>
      <c r="M15" s="9">
        <f>IF(C15="","",MONTH(C15))</f>
        <v/>
      </c>
      <c r="N15" s="9">
        <f>IF(C15="","",YEAR(C15))</f>
        <v/>
      </c>
    </row>
    <row r="16">
      <c r="A16" s="9">
        <f>IF(B16="","",InvoicePrefix&amp;TEXT(StartNumber+ROW()-2,"0000"))</f>
        <v/>
      </c>
      <c r="B16" s="9" t="n"/>
      <c r="C16" s="12" t="n"/>
      <c r="D16" s="12" t="n"/>
      <c r="E16" s="9" t="n"/>
      <c r="F16" s="10" t="n"/>
      <c r="G16" s="13">
        <f>TaxRate</f>
        <v/>
      </c>
      <c r="H16" s="10">
        <f>IF(B16="","",F16*G16)</f>
        <v/>
      </c>
      <c r="I16" s="10">
        <f>IF(B16="","",F16+H16)</f>
        <v/>
      </c>
      <c r="J16" s="9" t="n"/>
      <c r="K16" s="12" t="n"/>
      <c r="L16" s="9">
        <f>IF(B16="","",IF(AND(J16&lt;&gt;"Paid",TODAY()&gt;D16),TODAY()-D16,0))</f>
        <v/>
      </c>
      <c r="M16" s="9">
        <f>IF(C16="","",MONTH(C16))</f>
        <v/>
      </c>
      <c r="N16" s="9">
        <f>IF(C16="","",YEAR(C16))</f>
        <v/>
      </c>
    </row>
    <row r="17">
      <c r="A17" s="9">
        <f>IF(B17="","",InvoicePrefix&amp;TEXT(StartNumber+ROW()-2,"0000"))</f>
        <v/>
      </c>
      <c r="B17" s="9" t="n"/>
      <c r="C17" s="12" t="n"/>
      <c r="D17" s="12" t="n"/>
      <c r="E17" s="9" t="n"/>
      <c r="F17" s="10" t="n"/>
      <c r="G17" s="13">
        <f>TaxRate</f>
        <v/>
      </c>
      <c r="H17" s="10">
        <f>IF(B17="","",F17*G17)</f>
        <v/>
      </c>
      <c r="I17" s="10">
        <f>IF(B17="","",F17+H17)</f>
        <v/>
      </c>
      <c r="J17" s="9" t="n"/>
      <c r="K17" s="12" t="n"/>
      <c r="L17" s="9">
        <f>IF(B17="","",IF(AND(J17&lt;&gt;"Paid",TODAY()&gt;D17),TODAY()-D17,0))</f>
        <v/>
      </c>
      <c r="M17" s="9">
        <f>IF(C17="","",MONTH(C17))</f>
        <v/>
      </c>
      <c r="N17" s="9">
        <f>IF(C17="","",YEAR(C17))</f>
        <v/>
      </c>
    </row>
    <row r="18">
      <c r="A18" s="9">
        <f>IF(B18="","",InvoicePrefix&amp;TEXT(StartNumber+ROW()-2,"0000"))</f>
        <v/>
      </c>
      <c r="B18" s="9" t="n"/>
      <c r="C18" s="12" t="n"/>
      <c r="D18" s="12" t="n"/>
      <c r="E18" s="9" t="n"/>
      <c r="F18" s="10" t="n"/>
      <c r="G18" s="13">
        <f>TaxRate</f>
        <v/>
      </c>
      <c r="H18" s="10">
        <f>IF(B18="","",F18*G18)</f>
        <v/>
      </c>
      <c r="I18" s="10">
        <f>IF(B18="","",F18+H18)</f>
        <v/>
      </c>
      <c r="J18" s="9" t="n"/>
      <c r="K18" s="12" t="n"/>
      <c r="L18" s="9">
        <f>IF(B18="","",IF(AND(J18&lt;&gt;"Paid",TODAY()&gt;D18),TODAY()-D18,0))</f>
        <v/>
      </c>
      <c r="M18" s="9">
        <f>IF(C18="","",MONTH(C18))</f>
        <v/>
      </c>
      <c r="N18" s="9">
        <f>IF(C18="","",YEAR(C18))</f>
        <v/>
      </c>
    </row>
    <row r="19">
      <c r="A19" s="9">
        <f>IF(B19="","",InvoicePrefix&amp;TEXT(StartNumber+ROW()-2,"0000"))</f>
        <v/>
      </c>
      <c r="B19" s="9" t="n"/>
      <c r="C19" s="12" t="n"/>
      <c r="D19" s="12" t="n"/>
      <c r="E19" s="9" t="n"/>
      <c r="F19" s="10" t="n"/>
      <c r="G19" s="13">
        <f>TaxRate</f>
        <v/>
      </c>
      <c r="H19" s="10">
        <f>IF(B19="","",F19*G19)</f>
        <v/>
      </c>
      <c r="I19" s="10">
        <f>IF(B19="","",F19+H19)</f>
        <v/>
      </c>
      <c r="J19" s="9" t="n"/>
      <c r="K19" s="12" t="n"/>
      <c r="L19" s="9">
        <f>IF(B19="","",IF(AND(J19&lt;&gt;"Paid",TODAY()&gt;D19),TODAY()-D19,0))</f>
        <v/>
      </c>
      <c r="M19" s="9">
        <f>IF(C19="","",MONTH(C19))</f>
        <v/>
      </c>
      <c r="N19" s="9">
        <f>IF(C19="","",YEAR(C19))</f>
        <v/>
      </c>
    </row>
    <row r="20">
      <c r="A20" s="9">
        <f>IF(B20="","",InvoicePrefix&amp;TEXT(StartNumber+ROW()-2,"0000"))</f>
        <v/>
      </c>
      <c r="B20" s="9" t="n"/>
      <c r="C20" s="12" t="n"/>
      <c r="D20" s="12" t="n"/>
      <c r="E20" s="9" t="n"/>
      <c r="F20" s="10" t="n"/>
      <c r="G20" s="13">
        <f>TaxRate</f>
        <v/>
      </c>
      <c r="H20" s="10">
        <f>IF(B20="","",F20*G20)</f>
        <v/>
      </c>
      <c r="I20" s="10">
        <f>IF(B20="","",F20+H20)</f>
        <v/>
      </c>
      <c r="J20" s="9" t="n"/>
      <c r="K20" s="12" t="n"/>
      <c r="L20" s="9">
        <f>IF(B20="","",IF(AND(J20&lt;&gt;"Paid",TODAY()&gt;D20),TODAY()-D20,0))</f>
        <v/>
      </c>
      <c r="M20" s="9">
        <f>IF(C20="","",MONTH(C20))</f>
        <v/>
      </c>
      <c r="N20" s="9">
        <f>IF(C20="","",YEAR(C20))</f>
        <v/>
      </c>
    </row>
    <row r="21">
      <c r="A21" s="9">
        <f>IF(B21="","",InvoicePrefix&amp;TEXT(StartNumber+ROW()-2,"0000"))</f>
        <v/>
      </c>
      <c r="B21" s="9" t="n"/>
      <c r="C21" s="12" t="n"/>
      <c r="D21" s="12" t="n"/>
      <c r="E21" s="9" t="n"/>
      <c r="F21" s="10" t="n"/>
      <c r="G21" s="13">
        <f>TaxRate</f>
        <v/>
      </c>
      <c r="H21" s="10">
        <f>IF(B21="","",F21*G21)</f>
        <v/>
      </c>
      <c r="I21" s="10">
        <f>IF(B21="","",F21+H21)</f>
        <v/>
      </c>
      <c r="J21" s="9" t="n"/>
      <c r="K21" s="12" t="n"/>
      <c r="L21" s="9">
        <f>IF(B21="","",IF(AND(J21&lt;&gt;"Paid",TODAY()&gt;D21),TODAY()-D21,0))</f>
        <v/>
      </c>
      <c r="M21" s="9">
        <f>IF(C21="","",MONTH(C21))</f>
        <v/>
      </c>
      <c r="N21" s="9">
        <f>IF(C21="","",YEAR(C21))</f>
        <v/>
      </c>
    </row>
    <row r="22">
      <c r="A22" s="9">
        <f>IF(B22="","",InvoicePrefix&amp;TEXT(StartNumber+ROW()-2,"0000"))</f>
        <v/>
      </c>
      <c r="B22" s="9" t="n"/>
      <c r="C22" s="12" t="n"/>
      <c r="D22" s="12" t="n"/>
      <c r="E22" s="9" t="n"/>
      <c r="F22" s="10" t="n"/>
      <c r="G22" s="13">
        <f>TaxRate</f>
        <v/>
      </c>
      <c r="H22" s="10">
        <f>IF(B22="","",F22*G22)</f>
        <v/>
      </c>
      <c r="I22" s="10">
        <f>IF(B22="","",F22+H22)</f>
        <v/>
      </c>
      <c r="J22" s="9" t="n"/>
      <c r="K22" s="12" t="n"/>
      <c r="L22" s="9">
        <f>IF(B22="","",IF(AND(J22&lt;&gt;"Paid",TODAY()&gt;D22),TODAY()-D22,0))</f>
        <v/>
      </c>
      <c r="M22" s="9">
        <f>IF(C22="","",MONTH(C22))</f>
        <v/>
      </c>
      <c r="N22" s="9">
        <f>IF(C22="","",YEAR(C22))</f>
        <v/>
      </c>
    </row>
    <row r="23">
      <c r="A23" s="9">
        <f>IF(B23="","",InvoicePrefix&amp;TEXT(StartNumber+ROW()-2,"0000"))</f>
        <v/>
      </c>
      <c r="B23" s="9" t="n"/>
      <c r="C23" s="12" t="n"/>
      <c r="D23" s="12" t="n"/>
      <c r="E23" s="9" t="n"/>
      <c r="F23" s="10" t="n"/>
      <c r="G23" s="13">
        <f>TaxRate</f>
        <v/>
      </c>
      <c r="H23" s="10">
        <f>IF(B23="","",F23*G23)</f>
        <v/>
      </c>
      <c r="I23" s="10">
        <f>IF(B23="","",F23+H23)</f>
        <v/>
      </c>
      <c r="J23" s="9" t="n"/>
      <c r="K23" s="12" t="n"/>
      <c r="L23" s="9">
        <f>IF(B23="","",IF(AND(J23&lt;&gt;"Paid",TODAY()&gt;D23),TODAY()-D23,0))</f>
        <v/>
      </c>
      <c r="M23" s="9">
        <f>IF(C23="","",MONTH(C23))</f>
        <v/>
      </c>
      <c r="N23" s="9">
        <f>IF(C23="","",YEAR(C23))</f>
        <v/>
      </c>
    </row>
    <row r="24">
      <c r="A24" s="9">
        <f>IF(B24="","",InvoicePrefix&amp;TEXT(StartNumber+ROW()-2,"0000"))</f>
        <v/>
      </c>
      <c r="B24" s="9" t="n"/>
      <c r="C24" s="12" t="n"/>
      <c r="D24" s="12" t="n"/>
      <c r="E24" s="9" t="n"/>
      <c r="F24" s="10" t="n"/>
      <c r="G24" s="13">
        <f>TaxRate</f>
        <v/>
      </c>
      <c r="H24" s="10">
        <f>IF(B24="","",F24*G24)</f>
        <v/>
      </c>
      <c r="I24" s="10">
        <f>IF(B24="","",F24+H24)</f>
        <v/>
      </c>
      <c r="J24" s="9" t="n"/>
      <c r="K24" s="12" t="n"/>
      <c r="L24" s="9">
        <f>IF(B24="","",IF(AND(J24&lt;&gt;"Paid",TODAY()&gt;D24),TODAY()-D24,0))</f>
        <v/>
      </c>
      <c r="M24" s="9">
        <f>IF(C24="","",MONTH(C24))</f>
        <v/>
      </c>
      <c r="N24" s="9">
        <f>IF(C24="","",YEAR(C24))</f>
        <v/>
      </c>
    </row>
    <row r="25">
      <c r="A25" s="9">
        <f>IF(B25="","",InvoicePrefix&amp;TEXT(StartNumber+ROW()-2,"0000"))</f>
        <v/>
      </c>
      <c r="B25" s="9" t="n"/>
      <c r="C25" s="12" t="n"/>
      <c r="D25" s="12" t="n"/>
      <c r="E25" s="9" t="n"/>
      <c r="F25" s="10" t="n"/>
      <c r="G25" s="13">
        <f>TaxRate</f>
        <v/>
      </c>
      <c r="H25" s="10">
        <f>IF(B25="","",F25*G25)</f>
        <v/>
      </c>
      <c r="I25" s="10">
        <f>IF(B25="","",F25+H25)</f>
        <v/>
      </c>
      <c r="J25" s="9" t="n"/>
      <c r="K25" s="12" t="n"/>
      <c r="L25" s="9">
        <f>IF(B25="","",IF(AND(J25&lt;&gt;"Paid",TODAY()&gt;D25),TODAY()-D25,0))</f>
        <v/>
      </c>
      <c r="M25" s="9">
        <f>IF(C25="","",MONTH(C25))</f>
        <v/>
      </c>
      <c r="N25" s="9">
        <f>IF(C25="","",YEAR(C25))</f>
        <v/>
      </c>
    </row>
    <row r="26">
      <c r="A26" s="9">
        <f>IF(B26="","",InvoicePrefix&amp;TEXT(StartNumber+ROW()-2,"0000"))</f>
        <v/>
      </c>
      <c r="B26" s="9" t="n"/>
      <c r="C26" s="12" t="n"/>
      <c r="D26" s="12" t="n"/>
      <c r="E26" s="9" t="n"/>
      <c r="F26" s="10" t="n"/>
      <c r="G26" s="13">
        <f>TaxRate</f>
        <v/>
      </c>
      <c r="H26" s="10">
        <f>IF(B26="","",F26*G26)</f>
        <v/>
      </c>
      <c r="I26" s="10">
        <f>IF(B26="","",F26+H26)</f>
        <v/>
      </c>
      <c r="J26" s="9" t="n"/>
      <c r="K26" s="12" t="n"/>
      <c r="L26" s="9">
        <f>IF(B26="","",IF(AND(J26&lt;&gt;"Paid",TODAY()&gt;D26),TODAY()-D26,0))</f>
        <v/>
      </c>
      <c r="M26" s="9">
        <f>IF(C26="","",MONTH(C26))</f>
        <v/>
      </c>
      <c r="N26" s="9">
        <f>IF(C26="","",YEAR(C26))</f>
        <v/>
      </c>
    </row>
    <row r="27">
      <c r="A27" s="9">
        <f>IF(B27="","",InvoicePrefix&amp;TEXT(StartNumber+ROW()-2,"0000"))</f>
        <v/>
      </c>
      <c r="B27" s="9" t="n"/>
      <c r="C27" s="12" t="n"/>
      <c r="D27" s="12" t="n"/>
      <c r="E27" s="9" t="n"/>
      <c r="F27" s="10" t="n"/>
      <c r="G27" s="13">
        <f>TaxRate</f>
        <v/>
      </c>
      <c r="H27" s="10">
        <f>IF(B27="","",F27*G27)</f>
        <v/>
      </c>
      <c r="I27" s="10">
        <f>IF(B27="","",F27+H27)</f>
        <v/>
      </c>
      <c r="J27" s="9" t="n"/>
      <c r="K27" s="12" t="n"/>
      <c r="L27" s="9">
        <f>IF(B27="","",IF(AND(J27&lt;&gt;"Paid",TODAY()&gt;D27),TODAY()-D27,0))</f>
        <v/>
      </c>
      <c r="M27" s="9">
        <f>IF(C27="","",MONTH(C27))</f>
        <v/>
      </c>
      <c r="N27" s="9">
        <f>IF(C27="","",YEAR(C27))</f>
        <v/>
      </c>
    </row>
    <row r="28">
      <c r="A28" s="9">
        <f>IF(B28="","",InvoicePrefix&amp;TEXT(StartNumber+ROW()-2,"0000"))</f>
        <v/>
      </c>
      <c r="B28" s="9" t="n"/>
      <c r="C28" s="12" t="n"/>
      <c r="D28" s="12" t="n"/>
      <c r="E28" s="9" t="n"/>
      <c r="F28" s="10" t="n"/>
      <c r="G28" s="13">
        <f>TaxRate</f>
        <v/>
      </c>
      <c r="H28" s="10">
        <f>IF(B28="","",F28*G28)</f>
        <v/>
      </c>
      <c r="I28" s="10">
        <f>IF(B28="","",F28+H28)</f>
        <v/>
      </c>
      <c r="J28" s="9" t="n"/>
      <c r="K28" s="12" t="n"/>
      <c r="L28" s="9">
        <f>IF(B28="","",IF(AND(J28&lt;&gt;"Paid",TODAY()&gt;D28),TODAY()-D28,0))</f>
        <v/>
      </c>
      <c r="M28" s="9">
        <f>IF(C28="","",MONTH(C28))</f>
        <v/>
      </c>
      <c r="N28" s="9">
        <f>IF(C28="","",YEAR(C28))</f>
        <v/>
      </c>
    </row>
    <row r="29">
      <c r="A29" s="9">
        <f>IF(B29="","",InvoicePrefix&amp;TEXT(StartNumber+ROW()-2,"0000"))</f>
        <v/>
      </c>
      <c r="B29" s="9" t="n"/>
      <c r="C29" s="12" t="n"/>
      <c r="D29" s="12" t="n"/>
      <c r="E29" s="9" t="n"/>
      <c r="F29" s="10" t="n"/>
      <c r="G29" s="13">
        <f>TaxRate</f>
        <v/>
      </c>
      <c r="H29" s="10">
        <f>IF(B29="","",F29*G29)</f>
        <v/>
      </c>
      <c r="I29" s="10">
        <f>IF(B29="","",F29+H29)</f>
        <v/>
      </c>
      <c r="J29" s="9" t="n"/>
      <c r="K29" s="12" t="n"/>
      <c r="L29" s="9">
        <f>IF(B29="","",IF(AND(J29&lt;&gt;"Paid",TODAY()&gt;D29),TODAY()-D29,0))</f>
        <v/>
      </c>
      <c r="M29" s="9">
        <f>IF(C29="","",MONTH(C29))</f>
        <v/>
      </c>
      <c r="N29" s="9">
        <f>IF(C29="","",YEAR(C29))</f>
        <v/>
      </c>
    </row>
    <row r="30">
      <c r="A30" s="9">
        <f>IF(B30="","",InvoicePrefix&amp;TEXT(StartNumber+ROW()-2,"0000"))</f>
        <v/>
      </c>
      <c r="B30" s="9" t="n"/>
      <c r="C30" s="12" t="n"/>
      <c r="D30" s="12" t="n"/>
      <c r="E30" s="9" t="n"/>
      <c r="F30" s="10" t="n"/>
      <c r="G30" s="13">
        <f>TaxRate</f>
        <v/>
      </c>
      <c r="H30" s="10">
        <f>IF(B30="","",F30*G30)</f>
        <v/>
      </c>
      <c r="I30" s="10">
        <f>IF(B30="","",F30+H30)</f>
        <v/>
      </c>
      <c r="J30" s="9" t="n"/>
      <c r="K30" s="12" t="n"/>
      <c r="L30" s="9">
        <f>IF(B30="","",IF(AND(J30&lt;&gt;"Paid",TODAY()&gt;D30),TODAY()-D30,0))</f>
        <v/>
      </c>
      <c r="M30" s="9">
        <f>IF(C30="","",MONTH(C30))</f>
        <v/>
      </c>
      <c r="N30" s="9">
        <f>IF(C30="","",YEAR(C30))</f>
        <v/>
      </c>
    </row>
    <row r="31">
      <c r="A31" s="9">
        <f>IF(B31="","",InvoicePrefix&amp;TEXT(StartNumber+ROW()-2,"0000"))</f>
        <v/>
      </c>
      <c r="B31" s="9" t="n"/>
      <c r="C31" s="12" t="n"/>
      <c r="D31" s="12" t="n"/>
      <c r="E31" s="9" t="n"/>
      <c r="F31" s="10" t="n"/>
      <c r="G31" s="13">
        <f>TaxRate</f>
        <v/>
      </c>
      <c r="H31" s="10">
        <f>IF(B31="","",F31*G31)</f>
        <v/>
      </c>
      <c r="I31" s="10">
        <f>IF(B31="","",F31+H31)</f>
        <v/>
      </c>
      <c r="J31" s="9" t="n"/>
      <c r="K31" s="12" t="n"/>
      <c r="L31" s="9">
        <f>IF(B31="","",IF(AND(J31&lt;&gt;"Paid",TODAY()&gt;D31),TODAY()-D31,0))</f>
        <v/>
      </c>
      <c r="M31" s="9">
        <f>IF(C31="","",MONTH(C31))</f>
        <v/>
      </c>
      <c r="N31" s="9">
        <f>IF(C31="","",YEAR(C31))</f>
        <v/>
      </c>
    </row>
    <row r="32">
      <c r="A32" s="9">
        <f>IF(B32="","",InvoicePrefix&amp;TEXT(StartNumber+ROW()-2,"0000"))</f>
        <v/>
      </c>
      <c r="B32" s="9" t="n"/>
      <c r="C32" s="12" t="n"/>
      <c r="D32" s="12" t="n"/>
      <c r="E32" s="9" t="n"/>
      <c r="F32" s="10" t="n"/>
      <c r="G32" s="13">
        <f>TaxRate</f>
        <v/>
      </c>
      <c r="H32" s="10">
        <f>IF(B32="","",F32*G32)</f>
        <v/>
      </c>
      <c r="I32" s="10">
        <f>IF(B32="","",F32+H32)</f>
        <v/>
      </c>
      <c r="J32" s="9" t="n"/>
      <c r="K32" s="12" t="n"/>
      <c r="L32" s="9">
        <f>IF(B32="","",IF(AND(J32&lt;&gt;"Paid",TODAY()&gt;D32),TODAY()-D32,0))</f>
        <v/>
      </c>
      <c r="M32" s="9">
        <f>IF(C32="","",MONTH(C32))</f>
        <v/>
      </c>
      <c r="N32" s="9">
        <f>IF(C32="","",YEAR(C32))</f>
        <v/>
      </c>
    </row>
    <row r="33">
      <c r="A33" s="9">
        <f>IF(B33="","",InvoicePrefix&amp;TEXT(StartNumber+ROW()-2,"0000"))</f>
        <v/>
      </c>
      <c r="B33" s="9" t="n"/>
      <c r="C33" s="12" t="n"/>
      <c r="D33" s="12" t="n"/>
      <c r="E33" s="9" t="n"/>
      <c r="F33" s="10" t="n"/>
      <c r="G33" s="13">
        <f>TaxRate</f>
        <v/>
      </c>
      <c r="H33" s="10">
        <f>IF(B33="","",F33*G33)</f>
        <v/>
      </c>
      <c r="I33" s="10">
        <f>IF(B33="","",F33+H33)</f>
        <v/>
      </c>
      <c r="J33" s="9" t="n"/>
      <c r="K33" s="12" t="n"/>
      <c r="L33" s="9">
        <f>IF(B33="","",IF(AND(J33&lt;&gt;"Paid",TODAY()&gt;D33),TODAY()-D33,0))</f>
        <v/>
      </c>
      <c r="M33" s="9">
        <f>IF(C33="","",MONTH(C33))</f>
        <v/>
      </c>
      <c r="N33" s="9">
        <f>IF(C33="","",YEAR(C33))</f>
        <v/>
      </c>
    </row>
    <row r="34">
      <c r="A34" s="9">
        <f>IF(B34="","",InvoicePrefix&amp;TEXT(StartNumber+ROW()-2,"0000"))</f>
        <v/>
      </c>
      <c r="B34" s="9" t="n"/>
      <c r="C34" s="12" t="n"/>
      <c r="D34" s="12" t="n"/>
      <c r="E34" s="9" t="n"/>
      <c r="F34" s="10" t="n"/>
      <c r="G34" s="13">
        <f>TaxRate</f>
        <v/>
      </c>
      <c r="H34" s="10">
        <f>IF(B34="","",F34*G34)</f>
        <v/>
      </c>
      <c r="I34" s="10">
        <f>IF(B34="","",F34+H34)</f>
        <v/>
      </c>
      <c r="J34" s="9" t="n"/>
      <c r="K34" s="12" t="n"/>
      <c r="L34" s="9">
        <f>IF(B34="","",IF(AND(J34&lt;&gt;"Paid",TODAY()&gt;D34),TODAY()-D34,0))</f>
        <v/>
      </c>
      <c r="M34" s="9">
        <f>IF(C34="","",MONTH(C34))</f>
        <v/>
      </c>
      <c r="N34" s="9">
        <f>IF(C34="","",YEAR(C34))</f>
        <v/>
      </c>
    </row>
    <row r="35">
      <c r="A35" s="9">
        <f>IF(B35="","",InvoicePrefix&amp;TEXT(StartNumber+ROW()-2,"0000"))</f>
        <v/>
      </c>
      <c r="B35" s="9" t="n"/>
      <c r="C35" s="12" t="n"/>
      <c r="D35" s="12" t="n"/>
      <c r="E35" s="9" t="n"/>
      <c r="F35" s="10" t="n"/>
      <c r="G35" s="13">
        <f>TaxRate</f>
        <v/>
      </c>
      <c r="H35" s="10">
        <f>IF(B35="","",F35*G35)</f>
        <v/>
      </c>
      <c r="I35" s="10">
        <f>IF(B35="","",F35+H35)</f>
        <v/>
      </c>
      <c r="J35" s="9" t="n"/>
      <c r="K35" s="12" t="n"/>
      <c r="L35" s="9">
        <f>IF(B35="","",IF(AND(J35&lt;&gt;"Paid",TODAY()&gt;D35),TODAY()-D35,0))</f>
        <v/>
      </c>
      <c r="M35" s="9">
        <f>IF(C35="","",MONTH(C35))</f>
        <v/>
      </c>
      <c r="N35" s="9">
        <f>IF(C35="","",YEAR(C35))</f>
        <v/>
      </c>
    </row>
    <row r="36">
      <c r="A36" s="9">
        <f>IF(B36="","",InvoicePrefix&amp;TEXT(StartNumber+ROW()-2,"0000"))</f>
        <v/>
      </c>
      <c r="B36" s="9" t="n"/>
      <c r="C36" s="12" t="n"/>
      <c r="D36" s="12" t="n"/>
      <c r="E36" s="9" t="n"/>
      <c r="F36" s="10" t="n"/>
      <c r="G36" s="13">
        <f>TaxRate</f>
        <v/>
      </c>
      <c r="H36" s="10">
        <f>IF(B36="","",F36*G36)</f>
        <v/>
      </c>
      <c r="I36" s="10">
        <f>IF(B36="","",F36+H36)</f>
        <v/>
      </c>
      <c r="J36" s="9" t="n"/>
      <c r="K36" s="12" t="n"/>
      <c r="L36" s="9">
        <f>IF(B36="","",IF(AND(J36&lt;&gt;"Paid",TODAY()&gt;D36),TODAY()-D36,0))</f>
        <v/>
      </c>
      <c r="M36" s="9">
        <f>IF(C36="","",MONTH(C36))</f>
        <v/>
      </c>
      <c r="N36" s="9">
        <f>IF(C36="","",YEAR(C36))</f>
        <v/>
      </c>
    </row>
    <row r="37">
      <c r="A37" s="9">
        <f>IF(B37="","",InvoicePrefix&amp;TEXT(StartNumber+ROW()-2,"0000"))</f>
        <v/>
      </c>
      <c r="B37" s="9" t="n"/>
      <c r="C37" s="12" t="n"/>
      <c r="D37" s="12" t="n"/>
      <c r="E37" s="9" t="n"/>
      <c r="F37" s="10" t="n"/>
      <c r="G37" s="13">
        <f>TaxRate</f>
        <v/>
      </c>
      <c r="H37" s="10">
        <f>IF(B37="","",F37*G37)</f>
        <v/>
      </c>
      <c r="I37" s="10">
        <f>IF(B37="","",F37+H37)</f>
        <v/>
      </c>
      <c r="J37" s="9" t="n"/>
      <c r="K37" s="12" t="n"/>
      <c r="L37" s="9">
        <f>IF(B37="","",IF(AND(J37&lt;&gt;"Paid",TODAY()&gt;D37),TODAY()-D37,0))</f>
        <v/>
      </c>
      <c r="M37" s="9">
        <f>IF(C37="","",MONTH(C37))</f>
        <v/>
      </c>
      <c r="N37" s="9">
        <f>IF(C37="","",YEAR(C37))</f>
        <v/>
      </c>
    </row>
    <row r="38">
      <c r="A38" s="9">
        <f>IF(B38="","",InvoicePrefix&amp;TEXT(StartNumber+ROW()-2,"0000"))</f>
        <v/>
      </c>
      <c r="B38" s="9" t="n"/>
      <c r="C38" s="12" t="n"/>
      <c r="D38" s="12" t="n"/>
      <c r="E38" s="9" t="n"/>
      <c r="F38" s="10" t="n"/>
      <c r="G38" s="13">
        <f>TaxRate</f>
        <v/>
      </c>
      <c r="H38" s="10">
        <f>IF(B38="","",F38*G38)</f>
        <v/>
      </c>
      <c r="I38" s="10">
        <f>IF(B38="","",F38+H38)</f>
        <v/>
      </c>
      <c r="J38" s="9" t="n"/>
      <c r="K38" s="12" t="n"/>
      <c r="L38" s="9">
        <f>IF(B38="","",IF(AND(J38&lt;&gt;"Paid",TODAY()&gt;D38),TODAY()-D38,0))</f>
        <v/>
      </c>
      <c r="M38" s="9">
        <f>IF(C38="","",MONTH(C38))</f>
        <v/>
      </c>
      <c r="N38" s="9">
        <f>IF(C38="","",YEAR(C38))</f>
        <v/>
      </c>
    </row>
    <row r="39">
      <c r="A39" s="9">
        <f>IF(B39="","",InvoicePrefix&amp;TEXT(StartNumber+ROW()-2,"0000"))</f>
        <v/>
      </c>
      <c r="B39" s="9" t="n"/>
      <c r="C39" s="12" t="n"/>
      <c r="D39" s="12" t="n"/>
      <c r="E39" s="9" t="n"/>
      <c r="F39" s="10" t="n"/>
      <c r="G39" s="13">
        <f>TaxRate</f>
        <v/>
      </c>
      <c r="H39" s="10">
        <f>IF(B39="","",F39*G39)</f>
        <v/>
      </c>
      <c r="I39" s="10">
        <f>IF(B39="","",F39+H39)</f>
        <v/>
      </c>
      <c r="J39" s="9" t="n"/>
      <c r="K39" s="12" t="n"/>
      <c r="L39" s="9">
        <f>IF(B39="","",IF(AND(J39&lt;&gt;"Paid",TODAY()&gt;D39),TODAY()-D39,0))</f>
        <v/>
      </c>
      <c r="M39" s="9">
        <f>IF(C39="","",MONTH(C39))</f>
        <v/>
      </c>
      <c r="N39" s="9">
        <f>IF(C39="","",YEAR(C39))</f>
        <v/>
      </c>
    </row>
    <row r="40">
      <c r="A40" s="9">
        <f>IF(B40="","",InvoicePrefix&amp;TEXT(StartNumber+ROW()-2,"0000"))</f>
        <v/>
      </c>
      <c r="B40" s="9" t="n"/>
      <c r="C40" s="12" t="n"/>
      <c r="D40" s="12" t="n"/>
      <c r="E40" s="9" t="n"/>
      <c r="F40" s="10" t="n"/>
      <c r="G40" s="13">
        <f>TaxRate</f>
        <v/>
      </c>
      <c r="H40" s="10">
        <f>IF(B40="","",F40*G40)</f>
        <v/>
      </c>
      <c r="I40" s="10">
        <f>IF(B40="","",F40+H40)</f>
        <v/>
      </c>
      <c r="J40" s="9" t="n"/>
      <c r="K40" s="12" t="n"/>
      <c r="L40" s="9">
        <f>IF(B40="","",IF(AND(J40&lt;&gt;"Paid",TODAY()&gt;D40),TODAY()-D40,0))</f>
        <v/>
      </c>
      <c r="M40" s="9">
        <f>IF(C40="","",MONTH(C40))</f>
        <v/>
      </c>
      <c r="N40" s="9">
        <f>IF(C40="","",YEAR(C40))</f>
        <v/>
      </c>
    </row>
    <row r="41">
      <c r="A41" s="9">
        <f>IF(B41="","",InvoicePrefix&amp;TEXT(StartNumber+ROW()-2,"0000"))</f>
        <v/>
      </c>
      <c r="B41" s="9" t="n"/>
      <c r="C41" s="12" t="n"/>
      <c r="D41" s="12" t="n"/>
      <c r="E41" s="9" t="n"/>
      <c r="F41" s="10" t="n"/>
      <c r="G41" s="13">
        <f>TaxRate</f>
        <v/>
      </c>
      <c r="H41" s="10">
        <f>IF(B41="","",F41*G41)</f>
        <v/>
      </c>
      <c r="I41" s="10">
        <f>IF(B41="","",F41+H41)</f>
        <v/>
      </c>
      <c r="J41" s="9" t="n"/>
      <c r="K41" s="12" t="n"/>
      <c r="L41" s="9">
        <f>IF(B41="","",IF(AND(J41&lt;&gt;"Paid",TODAY()&gt;D41),TODAY()-D41,0))</f>
        <v/>
      </c>
      <c r="M41" s="9">
        <f>IF(C41="","",MONTH(C41))</f>
        <v/>
      </c>
      <c r="N41" s="9">
        <f>IF(C41="","",YEAR(C41))</f>
        <v/>
      </c>
    </row>
    <row r="42">
      <c r="A42" s="9">
        <f>IF(B42="","",InvoicePrefix&amp;TEXT(StartNumber+ROW()-2,"0000"))</f>
        <v/>
      </c>
      <c r="B42" s="9" t="n"/>
      <c r="C42" s="12" t="n"/>
      <c r="D42" s="12" t="n"/>
      <c r="E42" s="9" t="n"/>
      <c r="F42" s="10" t="n"/>
      <c r="G42" s="13">
        <f>TaxRate</f>
        <v/>
      </c>
      <c r="H42" s="10">
        <f>IF(B42="","",F42*G42)</f>
        <v/>
      </c>
      <c r="I42" s="10">
        <f>IF(B42="","",F42+H42)</f>
        <v/>
      </c>
      <c r="J42" s="9" t="n"/>
      <c r="K42" s="12" t="n"/>
      <c r="L42" s="9">
        <f>IF(B42="","",IF(AND(J42&lt;&gt;"Paid",TODAY()&gt;D42),TODAY()-D42,0))</f>
        <v/>
      </c>
      <c r="M42" s="9">
        <f>IF(C42="","",MONTH(C42))</f>
        <v/>
      </c>
      <c r="N42" s="9">
        <f>IF(C42="","",YEAR(C42))</f>
        <v/>
      </c>
    </row>
    <row r="43">
      <c r="A43" s="9">
        <f>IF(B43="","",InvoicePrefix&amp;TEXT(StartNumber+ROW()-2,"0000"))</f>
        <v/>
      </c>
      <c r="B43" s="9" t="n"/>
      <c r="C43" s="12" t="n"/>
      <c r="D43" s="12" t="n"/>
      <c r="E43" s="9" t="n"/>
      <c r="F43" s="10" t="n"/>
      <c r="G43" s="13">
        <f>TaxRate</f>
        <v/>
      </c>
      <c r="H43" s="10">
        <f>IF(B43="","",F43*G43)</f>
        <v/>
      </c>
      <c r="I43" s="10">
        <f>IF(B43="","",F43+H43)</f>
        <v/>
      </c>
      <c r="J43" s="9" t="n"/>
      <c r="K43" s="12" t="n"/>
      <c r="L43" s="9">
        <f>IF(B43="","",IF(AND(J43&lt;&gt;"Paid",TODAY()&gt;D43),TODAY()-D43,0))</f>
        <v/>
      </c>
      <c r="M43" s="9">
        <f>IF(C43="","",MONTH(C43))</f>
        <v/>
      </c>
      <c r="N43" s="9">
        <f>IF(C43="","",YEAR(C43))</f>
        <v/>
      </c>
    </row>
    <row r="44">
      <c r="A44" s="9">
        <f>IF(B44="","",InvoicePrefix&amp;TEXT(StartNumber+ROW()-2,"0000"))</f>
        <v/>
      </c>
      <c r="B44" s="9" t="n"/>
      <c r="C44" s="12" t="n"/>
      <c r="D44" s="12" t="n"/>
      <c r="E44" s="9" t="n"/>
      <c r="F44" s="10" t="n"/>
      <c r="G44" s="13">
        <f>TaxRate</f>
        <v/>
      </c>
      <c r="H44" s="10">
        <f>IF(B44="","",F44*G44)</f>
        <v/>
      </c>
      <c r="I44" s="10">
        <f>IF(B44="","",F44+H44)</f>
        <v/>
      </c>
      <c r="J44" s="9" t="n"/>
      <c r="K44" s="12" t="n"/>
      <c r="L44" s="9">
        <f>IF(B44="","",IF(AND(J44&lt;&gt;"Paid",TODAY()&gt;D44),TODAY()-D44,0))</f>
        <v/>
      </c>
      <c r="M44" s="9">
        <f>IF(C44="","",MONTH(C44))</f>
        <v/>
      </c>
      <c r="N44" s="9">
        <f>IF(C44="","",YEAR(C44))</f>
        <v/>
      </c>
    </row>
    <row r="45">
      <c r="A45" s="9">
        <f>IF(B45="","",InvoicePrefix&amp;TEXT(StartNumber+ROW()-2,"0000"))</f>
        <v/>
      </c>
      <c r="B45" s="9" t="n"/>
      <c r="C45" s="12" t="n"/>
      <c r="D45" s="12" t="n"/>
      <c r="E45" s="9" t="n"/>
      <c r="F45" s="10" t="n"/>
      <c r="G45" s="13">
        <f>TaxRate</f>
        <v/>
      </c>
      <c r="H45" s="10">
        <f>IF(B45="","",F45*G45)</f>
        <v/>
      </c>
      <c r="I45" s="10">
        <f>IF(B45="","",F45+H45)</f>
        <v/>
      </c>
      <c r="J45" s="9" t="n"/>
      <c r="K45" s="12" t="n"/>
      <c r="L45" s="9">
        <f>IF(B45="","",IF(AND(J45&lt;&gt;"Paid",TODAY()&gt;D45),TODAY()-D45,0))</f>
        <v/>
      </c>
      <c r="M45" s="9">
        <f>IF(C45="","",MONTH(C45))</f>
        <v/>
      </c>
      <c r="N45" s="9">
        <f>IF(C45="","",YEAR(C45))</f>
        <v/>
      </c>
    </row>
    <row r="46">
      <c r="A46" s="9">
        <f>IF(B46="","",InvoicePrefix&amp;TEXT(StartNumber+ROW()-2,"0000"))</f>
        <v/>
      </c>
      <c r="B46" s="9" t="n"/>
      <c r="C46" s="12" t="n"/>
      <c r="D46" s="12" t="n"/>
      <c r="E46" s="9" t="n"/>
      <c r="F46" s="10" t="n"/>
      <c r="G46" s="13">
        <f>TaxRate</f>
        <v/>
      </c>
      <c r="H46" s="10">
        <f>IF(B46="","",F46*G46)</f>
        <v/>
      </c>
      <c r="I46" s="10">
        <f>IF(B46="","",F46+H46)</f>
        <v/>
      </c>
      <c r="J46" s="9" t="n"/>
      <c r="K46" s="12" t="n"/>
      <c r="L46" s="9">
        <f>IF(B46="","",IF(AND(J46&lt;&gt;"Paid",TODAY()&gt;D46),TODAY()-D46,0))</f>
        <v/>
      </c>
      <c r="M46" s="9">
        <f>IF(C46="","",MONTH(C46))</f>
        <v/>
      </c>
      <c r="N46" s="9">
        <f>IF(C46="","",YEAR(C46))</f>
        <v/>
      </c>
    </row>
    <row r="47">
      <c r="A47" s="9">
        <f>IF(B47="","",InvoicePrefix&amp;TEXT(StartNumber+ROW()-2,"0000"))</f>
        <v/>
      </c>
      <c r="B47" s="9" t="n"/>
      <c r="C47" s="12" t="n"/>
      <c r="D47" s="12" t="n"/>
      <c r="E47" s="9" t="n"/>
      <c r="F47" s="10" t="n"/>
      <c r="G47" s="13">
        <f>TaxRate</f>
        <v/>
      </c>
      <c r="H47" s="10">
        <f>IF(B47="","",F47*G47)</f>
        <v/>
      </c>
      <c r="I47" s="10">
        <f>IF(B47="","",F47+H47)</f>
        <v/>
      </c>
      <c r="J47" s="9" t="n"/>
      <c r="K47" s="12" t="n"/>
      <c r="L47" s="9">
        <f>IF(B47="","",IF(AND(J47&lt;&gt;"Paid",TODAY()&gt;D47),TODAY()-D47,0))</f>
        <v/>
      </c>
      <c r="M47" s="9">
        <f>IF(C47="","",MONTH(C47))</f>
        <v/>
      </c>
      <c r="N47" s="9">
        <f>IF(C47="","",YEAR(C47))</f>
        <v/>
      </c>
    </row>
    <row r="48">
      <c r="A48" s="9">
        <f>IF(B48="","",InvoicePrefix&amp;TEXT(StartNumber+ROW()-2,"0000"))</f>
        <v/>
      </c>
      <c r="B48" s="9" t="n"/>
      <c r="C48" s="12" t="n"/>
      <c r="D48" s="12" t="n"/>
      <c r="E48" s="9" t="n"/>
      <c r="F48" s="10" t="n"/>
      <c r="G48" s="13">
        <f>TaxRate</f>
        <v/>
      </c>
      <c r="H48" s="10">
        <f>IF(B48="","",F48*G48)</f>
        <v/>
      </c>
      <c r="I48" s="10">
        <f>IF(B48="","",F48+H48)</f>
        <v/>
      </c>
      <c r="J48" s="9" t="n"/>
      <c r="K48" s="12" t="n"/>
      <c r="L48" s="9">
        <f>IF(B48="","",IF(AND(J48&lt;&gt;"Paid",TODAY()&gt;D48),TODAY()-D48,0))</f>
        <v/>
      </c>
      <c r="M48" s="9">
        <f>IF(C48="","",MONTH(C48))</f>
        <v/>
      </c>
      <c r="N48" s="9">
        <f>IF(C48="","",YEAR(C48))</f>
        <v/>
      </c>
    </row>
    <row r="49">
      <c r="A49" s="9">
        <f>IF(B49="","",InvoicePrefix&amp;TEXT(StartNumber+ROW()-2,"0000"))</f>
        <v/>
      </c>
      <c r="B49" s="9" t="n"/>
      <c r="C49" s="12" t="n"/>
      <c r="D49" s="12" t="n"/>
      <c r="E49" s="9" t="n"/>
      <c r="F49" s="10" t="n"/>
      <c r="G49" s="13">
        <f>TaxRate</f>
        <v/>
      </c>
      <c r="H49" s="10">
        <f>IF(B49="","",F49*G49)</f>
        <v/>
      </c>
      <c r="I49" s="10">
        <f>IF(B49="","",F49+H49)</f>
        <v/>
      </c>
      <c r="J49" s="9" t="n"/>
      <c r="K49" s="12" t="n"/>
      <c r="L49" s="9">
        <f>IF(B49="","",IF(AND(J49&lt;&gt;"Paid",TODAY()&gt;D49),TODAY()-D49,0))</f>
        <v/>
      </c>
      <c r="M49" s="9">
        <f>IF(C49="","",MONTH(C49))</f>
        <v/>
      </c>
      <c r="N49" s="9">
        <f>IF(C49="","",YEAR(C49))</f>
        <v/>
      </c>
    </row>
    <row r="50">
      <c r="A50" s="9">
        <f>IF(B50="","",InvoicePrefix&amp;TEXT(StartNumber+ROW()-2,"0000"))</f>
        <v/>
      </c>
      <c r="B50" s="9" t="n"/>
      <c r="C50" s="12" t="n"/>
      <c r="D50" s="12" t="n"/>
      <c r="E50" s="9" t="n"/>
      <c r="F50" s="10" t="n"/>
      <c r="G50" s="13">
        <f>TaxRate</f>
        <v/>
      </c>
      <c r="H50" s="10">
        <f>IF(B50="","",F50*G50)</f>
        <v/>
      </c>
      <c r="I50" s="10">
        <f>IF(B50="","",F50+H50)</f>
        <v/>
      </c>
      <c r="J50" s="9" t="n"/>
      <c r="K50" s="12" t="n"/>
      <c r="L50" s="9">
        <f>IF(B50="","",IF(AND(J50&lt;&gt;"Paid",TODAY()&gt;D50),TODAY()-D50,0))</f>
        <v/>
      </c>
      <c r="M50" s="9">
        <f>IF(C50="","",MONTH(C50))</f>
        <v/>
      </c>
      <c r="N50" s="9">
        <f>IF(C50="","",YEAR(C50))</f>
        <v/>
      </c>
    </row>
    <row r="51">
      <c r="A51" s="9">
        <f>IF(B51="","",InvoicePrefix&amp;TEXT(StartNumber+ROW()-2,"0000"))</f>
        <v/>
      </c>
      <c r="B51" s="9" t="n"/>
      <c r="C51" s="12" t="n"/>
      <c r="D51" s="12" t="n"/>
      <c r="E51" s="9" t="n"/>
      <c r="F51" s="10" t="n"/>
      <c r="G51" s="13">
        <f>TaxRate</f>
        <v/>
      </c>
      <c r="H51" s="10">
        <f>IF(B51="","",F51*G51)</f>
        <v/>
      </c>
      <c r="I51" s="10">
        <f>IF(B51="","",F51+H51)</f>
        <v/>
      </c>
      <c r="J51" s="9" t="n"/>
      <c r="K51" s="12" t="n"/>
      <c r="L51" s="9">
        <f>IF(B51="","",IF(AND(J51&lt;&gt;"Paid",TODAY()&gt;D51),TODAY()-D51,0))</f>
        <v/>
      </c>
      <c r="M51" s="9">
        <f>IF(C51="","",MONTH(C51))</f>
        <v/>
      </c>
      <c r="N51" s="9">
        <f>IF(C51="","",YEAR(C51))</f>
        <v/>
      </c>
    </row>
    <row r="52">
      <c r="A52" s="9">
        <f>IF(B52="","",InvoicePrefix&amp;TEXT(StartNumber+ROW()-2,"0000"))</f>
        <v/>
      </c>
      <c r="B52" s="9" t="n"/>
      <c r="C52" s="12" t="n"/>
      <c r="D52" s="12" t="n"/>
      <c r="E52" s="9" t="n"/>
      <c r="F52" s="10" t="n"/>
      <c r="G52" s="13">
        <f>TaxRate</f>
        <v/>
      </c>
      <c r="H52" s="10">
        <f>IF(B52="","",F52*G52)</f>
        <v/>
      </c>
      <c r="I52" s="10">
        <f>IF(B52="","",F52+H52)</f>
        <v/>
      </c>
      <c r="J52" s="9" t="n"/>
      <c r="K52" s="12" t="n"/>
      <c r="L52" s="9">
        <f>IF(B52="","",IF(AND(J52&lt;&gt;"Paid",TODAY()&gt;D52),TODAY()-D52,0))</f>
        <v/>
      </c>
      <c r="M52" s="9">
        <f>IF(C52="","",MONTH(C52))</f>
        <v/>
      </c>
      <c r="N52" s="9">
        <f>IF(C52="","",YEAR(C52))</f>
        <v/>
      </c>
    </row>
    <row r="53">
      <c r="A53" s="9">
        <f>IF(B53="","",InvoicePrefix&amp;TEXT(StartNumber+ROW()-2,"0000"))</f>
        <v/>
      </c>
      <c r="B53" s="9" t="n"/>
      <c r="C53" s="12" t="n"/>
      <c r="D53" s="12" t="n"/>
      <c r="E53" s="9" t="n"/>
      <c r="F53" s="10" t="n"/>
      <c r="G53" s="13">
        <f>TaxRate</f>
        <v/>
      </c>
      <c r="H53" s="10">
        <f>IF(B53="","",F53*G53)</f>
        <v/>
      </c>
      <c r="I53" s="10">
        <f>IF(B53="","",F53+H53)</f>
        <v/>
      </c>
      <c r="J53" s="9" t="n"/>
      <c r="K53" s="12" t="n"/>
      <c r="L53" s="9">
        <f>IF(B53="","",IF(AND(J53&lt;&gt;"Paid",TODAY()&gt;D53),TODAY()-D53,0))</f>
        <v/>
      </c>
      <c r="M53" s="9">
        <f>IF(C53="","",MONTH(C53))</f>
        <v/>
      </c>
      <c r="N53" s="9">
        <f>IF(C53="","",YEAR(C53))</f>
        <v/>
      </c>
    </row>
    <row r="54">
      <c r="A54" s="9">
        <f>IF(B54="","",InvoicePrefix&amp;TEXT(StartNumber+ROW()-2,"0000"))</f>
        <v/>
      </c>
      <c r="B54" s="9" t="n"/>
      <c r="C54" s="12" t="n"/>
      <c r="D54" s="12" t="n"/>
      <c r="E54" s="9" t="n"/>
      <c r="F54" s="10" t="n"/>
      <c r="G54" s="13">
        <f>TaxRate</f>
        <v/>
      </c>
      <c r="H54" s="10">
        <f>IF(B54="","",F54*G54)</f>
        <v/>
      </c>
      <c r="I54" s="10">
        <f>IF(B54="","",F54+H54)</f>
        <v/>
      </c>
      <c r="J54" s="9" t="n"/>
      <c r="K54" s="12" t="n"/>
      <c r="L54" s="9">
        <f>IF(B54="","",IF(AND(J54&lt;&gt;"Paid",TODAY()&gt;D54),TODAY()-D54,0))</f>
        <v/>
      </c>
      <c r="M54" s="9">
        <f>IF(C54="","",MONTH(C54))</f>
        <v/>
      </c>
      <c r="N54" s="9">
        <f>IF(C54="","",YEAR(C54))</f>
        <v/>
      </c>
    </row>
    <row r="55">
      <c r="A55" s="9">
        <f>IF(B55="","",InvoicePrefix&amp;TEXT(StartNumber+ROW()-2,"0000"))</f>
        <v/>
      </c>
      <c r="B55" s="9" t="n"/>
      <c r="C55" s="12" t="n"/>
      <c r="D55" s="12" t="n"/>
      <c r="E55" s="9" t="n"/>
      <c r="F55" s="10" t="n"/>
      <c r="G55" s="13">
        <f>TaxRate</f>
        <v/>
      </c>
      <c r="H55" s="10">
        <f>IF(B55="","",F55*G55)</f>
        <v/>
      </c>
      <c r="I55" s="10">
        <f>IF(B55="","",F55+H55)</f>
        <v/>
      </c>
      <c r="J55" s="9" t="n"/>
      <c r="K55" s="12" t="n"/>
      <c r="L55" s="9">
        <f>IF(B55="","",IF(AND(J55&lt;&gt;"Paid",TODAY()&gt;D55),TODAY()-D55,0))</f>
        <v/>
      </c>
      <c r="M55" s="9">
        <f>IF(C55="","",MONTH(C55))</f>
        <v/>
      </c>
      <c r="N55" s="9">
        <f>IF(C55="","",YEAR(C55))</f>
        <v/>
      </c>
    </row>
    <row r="56">
      <c r="A56" s="9">
        <f>IF(B56="","",InvoicePrefix&amp;TEXT(StartNumber+ROW()-2,"0000"))</f>
        <v/>
      </c>
      <c r="B56" s="9" t="n"/>
      <c r="C56" s="12" t="n"/>
      <c r="D56" s="12" t="n"/>
      <c r="E56" s="9" t="n"/>
      <c r="F56" s="10" t="n"/>
      <c r="G56" s="13">
        <f>TaxRate</f>
        <v/>
      </c>
      <c r="H56" s="10">
        <f>IF(B56="","",F56*G56)</f>
        <v/>
      </c>
      <c r="I56" s="10">
        <f>IF(B56="","",F56+H56)</f>
        <v/>
      </c>
      <c r="J56" s="9" t="n"/>
      <c r="K56" s="12" t="n"/>
      <c r="L56" s="9">
        <f>IF(B56="","",IF(AND(J56&lt;&gt;"Paid",TODAY()&gt;D56),TODAY()-D56,0))</f>
        <v/>
      </c>
      <c r="M56" s="9">
        <f>IF(C56="","",MONTH(C56))</f>
        <v/>
      </c>
      <c r="N56" s="9">
        <f>IF(C56="","",YEAR(C56))</f>
        <v/>
      </c>
    </row>
    <row r="57">
      <c r="A57" s="9">
        <f>IF(B57="","",InvoicePrefix&amp;TEXT(StartNumber+ROW()-2,"0000"))</f>
        <v/>
      </c>
      <c r="B57" s="9" t="n"/>
      <c r="C57" s="12" t="n"/>
      <c r="D57" s="12" t="n"/>
      <c r="E57" s="9" t="n"/>
      <c r="F57" s="10" t="n"/>
      <c r="G57" s="13">
        <f>TaxRate</f>
        <v/>
      </c>
      <c r="H57" s="10">
        <f>IF(B57="","",F57*G57)</f>
        <v/>
      </c>
      <c r="I57" s="10">
        <f>IF(B57="","",F57+H57)</f>
        <v/>
      </c>
      <c r="J57" s="9" t="n"/>
      <c r="K57" s="12" t="n"/>
      <c r="L57" s="9">
        <f>IF(B57="","",IF(AND(J57&lt;&gt;"Paid",TODAY()&gt;D57),TODAY()-D57,0))</f>
        <v/>
      </c>
      <c r="M57" s="9">
        <f>IF(C57="","",MONTH(C57))</f>
        <v/>
      </c>
      <c r="N57" s="9">
        <f>IF(C57="","",YEAR(C57))</f>
        <v/>
      </c>
    </row>
    <row r="58">
      <c r="A58" s="9">
        <f>IF(B58="","",InvoicePrefix&amp;TEXT(StartNumber+ROW()-2,"0000"))</f>
        <v/>
      </c>
      <c r="B58" s="9" t="n"/>
      <c r="C58" s="12" t="n"/>
      <c r="D58" s="12" t="n"/>
      <c r="E58" s="9" t="n"/>
      <c r="F58" s="10" t="n"/>
      <c r="G58" s="13">
        <f>TaxRate</f>
        <v/>
      </c>
      <c r="H58" s="10">
        <f>IF(B58="","",F58*G58)</f>
        <v/>
      </c>
      <c r="I58" s="10">
        <f>IF(B58="","",F58+H58)</f>
        <v/>
      </c>
      <c r="J58" s="9" t="n"/>
      <c r="K58" s="12" t="n"/>
      <c r="L58" s="9">
        <f>IF(B58="","",IF(AND(J58&lt;&gt;"Paid",TODAY()&gt;D58),TODAY()-D58,0))</f>
        <v/>
      </c>
      <c r="M58" s="9">
        <f>IF(C58="","",MONTH(C58))</f>
        <v/>
      </c>
      <c r="N58" s="9">
        <f>IF(C58="","",YEAR(C58))</f>
        <v/>
      </c>
    </row>
    <row r="59">
      <c r="A59" s="9">
        <f>IF(B59="","",InvoicePrefix&amp;TEXT(StartNumber+ROW()-2,"0000"))</f>
        <v/>
      </c>
      <c r="B59" s="9" t="n"/>
      <c r="C59" s="12" t="n"/>
      <c r="D59" s="12" t="n"/>
      <c r="E59" s="9" t="n"/>
      <c r="F59" s="10" t="n"/>
      <c r="G59" s="13">
        <f>TaxRate</f>
        <v/>
      </c>
      <c r="H59" s="10">
        <f>IF(B59="","",F59*G59)</f>
        <v/>
      </c>
      <c r="I59" s="10">
        <f>IF(B59="","",F59+H59)</f>
        <v/>
      </c>
      <c r="J59" s="9" t="n"/>
      <c r="K59" s="12" t="n"/>
      <c r="L59" s="9">
        <f>IF(B59="","",IF(AND(J59&lt;&gt;"Paid",TODAY()&gt;D59),TODAY()-D59,0))</f>
        <v/>
      </c>
      <c r="M59" s="9">
        <f>IF(C59="","",MONTH(C59))</f>
        <v/>
      </c>
      <c r="N59" s="9">
        <f>IF(C59="","",YEAR(C59))</f>
        <v/>
      </c>
    </row>
    <row r="60">
      <c r="A60" s="9">
        <f>IF(B60="","",InvoicePrefix&amp;TEXT(StartNumber+ROW()-2,"0000"))</f>
        <v/>
      </c>
      <c r="B60" s="9" t="n"/>
      <c r="C60" s="12" t="n"/>
      <c r="D60" s="12" t="n"/>
      <c r="E60" s="9" t="n"/>
      <c r="F60" s="10" t="n"/>
      <c r="G60" s="13">
        <f>TaxRate</f>
        <v/>
      </c>
      <c r="H60" s="10">
        <f>IF(B60="","",F60*G60)</f>
        <v/>
      </c>
      <c r="I60" s="10">
        <f>IF(B60="","",F60+H60)</f>
        <v/>
      </c>
      <c r="J60" s="9" t="n"/>
      <c r="K60" s="12" t="n"/>
      <c r="L60" s="9">
        <f>IF(B60="","",IF(AND(J60&lt;&gt;"Paid",TODAY()&gt;D60),TODAY()-D60,0))</f>
        <v/>
      </c>
      <c r="M60" s="9">
        <f>IF(C60="","",MONTH(C60))</f>
        <v/>
      </c>
      <c r="N60" s="9">
        <f>IF(C60="","",YEAR(C60))</f>
        <v/>
      </c>
    </row>
    <row r="61">
      <c r="A61" s="9">
        <f>IF(B61="","",InvoicePrefix&amp;TEXT(StartNumber+ROW()-2,"0000"))</f>
        <v/>
      </c>
      <c r="B61" s="9" t="n"/>
      <c r="C61" s="12" t="n"/>
      <c r="D61" s="12" t="n"/>
      <c r="E61" s="9" t="n"/>
      <c r="F61" s="10" t="n"/>
      <c r="G61" s="13">
        <f>TaxRate</f>
        <v/>
      </c>
      <c r="H61" s="10">
        <f>IF(B61="","",F61*G61)</f>
        <v/>
      </c>
      <c r="I61" s="10">
        <f>IF(B61="","",F61+H61)</f>
        <v/>
      </c>
      <c r="J61" s="9" t="n"/>
      <c r="K61" s="12" t="n"/>
      <c r="L61" s="9">
        <f>IF(B61="","",IF(AND(J61&lt;&gt;"Paid",TODAY()&gt;D61),TODAY()-D61,0))</f>
        <v/>
      </c>
      <c r="M61" s="9">
        <f>IF(C61="","",MONTH(C61))</f>
        <v/>
      </c>
      <c r="N61" s="9">
        <f>IF(C61="","",YEAR(C61))</f>
        <v/>
      </c>
    </row>
    <row r="62">
      <c r="A62" s="9">
        <f>IF(B62="","",InvoicePrefix&amp;TEXT(StartNumber+ROW()-2,"0000"))</f>
        <v/>
      </c>
      <c r="B62" s="9" t="n"/>
      <c r="C62" s="12" t="n"/>
      <c r="D62" s="12" t="n"/>
      <c r="E62" s="9" t="n"/>
      <c r="F62" s="10" t="n"/>
      <c r="G62" s="13">
        <f>TaxRate</f>
        <v/>
      </c>
      <c r="H62" s="10">
        <f>IF(B62="","",F62*G62)</f>
        <v/>
      </c>
      <c r="I62" s="10">
        <f>IF(B62="","",F62+H62)</f>
        <v/>
      </c>
      <c r="J62" s="9" t="n"/>
      <c r="K62" s="12" t="n"/>
      <c r="L62" s="9">
        <f>IF(B62="","",IF(AND(J62&lt;&gt;"Paid",TODAY()&gt;D62),TODAY()-D62,0))</f>
        <v/>
      </c>
      <c r="M62" s="9">
        <f>IF(C62="","",MONTH(C62))</f>
        <v/>
      </c>
      <c r="N62" s="9">
        <f>IF(C62="","",YEAR(C62))</f>
        <v/>
      </c>
    </row>
    <row r="63">
      <c r="A63" s="9">
        <f>IF(B63="","",InvoicePrefix&amp;TEXT(StartNumber+ROW()-2,"0000"))</f>
        <v/>
      </c>
      <c r="B63" s="9" t="n"/>
      <c r="C63" s="12" t="n"/>
      <c r="D63" s="12" t="n"/>
      <c r="E63" s="9" t="n"/>
      <c r="F63" s="10" t="n"/>
      <c r="G63" s="13">
        <f>TaxRate</f>
        <v/>
      </c>
      <c r="H63" s="10">
        <f>IF(B63="","",F63*G63)</f>
        <v/>
      </c>
      <c r="I63" s="10">
        <f>IF(B63="","",F63+H63)</f>
        <v/>
      </c>
      <c r="J63" s="9" t="n"/>
      <c r="K63" s="12" t="n"/>
      <c r="L63" s="9">
        <f>IF(B63="","",IF(AND(J63&lt;&gt;"Paid",TODAY()&gt;D63),TODAY()-D63,0))</f>
        <v/>
      </c>
      <c r="M63" s="9">
        <f>IF(C63="","",MONTH(C63))</f>
        <v/>
      </c>
      <c r="N63" s="9">
        <f>IF(C63="","",YEAR(C63))</f>
        <v/>
      </c>
    </row>
    <row r="64">
      <c r="A64" s="9">
        <f>IF(B64="","",InvoicePrefix&amp;TEXT(StartNumber+ROW()-2,"0000"))</f>
        <v/>
      </c>
      <c r="B64" s="9" t="n"/>
      <c r="C64" s="12" t="n"/>
      <c r="D64" s="12" t="n"/>
      <c r="E64" s="9" t="n"/>
      <c r="F64" s="10" t="n"/>
      <c r="G64" s="13">
        <f>TaxRate</f>
        <v/>
      </c>
      <c r="H64" s="10">
        <f>IF(B64="","",F64*G64)</f>
        <v/>
      </c>
      <c r="I64" s="10">
        <f>IF(B64="","",F64+H64)</f>
        <v/>
      </c>
      <c r="J64" s="9" t="n"/>
      <c r="K64" s="12" t="n"/>
      <c r="L64" s="9">
        <f>IF(B64="","",IF(AND(J64&lt;&gt;"Paid",TODAY()&gt;D64),TODAY()-D64,0))</f>
        <v/>
      </c>
      <c r="M64" s="9">
        <f>IF(C64="","",MONTH(C64))</f>
        <v/>
      </c>
      <c r="N64" s="9">
        <f>IF(C64="","",YEAR(C64))</f>
        <v/>
      </c>
    </row>
    <row r="65">
      <c r="A65" s="9">
        <f>IF(B65="","",InvoicePrefix&amp;TEXT(StartNumber+ROW()-2,"0000"))</f>
        <v/>
      </c>
      <c r="B65" s="9" t="n"/>
      <c r="C65" s="12" t="n"/>
      <c r="D65" s="12" t="n"/>
      <c r="E65" s="9" t="n"/>
      <c r="F65" s="10" t="n"/>
      <c r="G65" s="13">
        <f>TaxRate</f>
        <v/>
      </c>
      <c r="H65" s="10">
        <f>IF(B65="","",F65*G65)</f>
        <v/>
      </c>
      <c r="I65" s="10">
        <f>IF(B65="","",F65+H65)</f>
        <v/>
      </c>
      <c r="J65" s="9" t="n"/>
      <c r="K65" s="12" t="n"/>
      <c r="L65" s="9">
        <f>IF(B65="","",IF(AND(J65&lt;&gt;"Paid",TODAY()&gt;D65),TODAY()-D65,0))</f>
        <v/>
      </c>
      <c r="M65" s="9">
        <f>IF(C65="","",MONTH(C65))</f>
        <v/>
      </c>
      <c r="N65" s="9">
        <f>IF(C65="","",YEAR(C65))</f>
        <v/>
      </c>
    </row>
    <row r="66">
      <c r="A66" s="9">
        <f>IF(B66="","",InvoicePrefix&amp;TEXT(StartNumber+ROW()-2,"0000"))</f>
        <v/>
      </c>
      <c r="B66" s="9" t="n"/>
      <c r="C66" s="12" t="n"/>
      <c r="D66" s="12" t="n"/>
      <c r="E66" s="9" t="n"/>
      <c r="F66" s="10" t="n"/>
      <c r="G66" s="13">
        <f>TaxRate</f>
        <v/>
      </c>
      <c r="H66" s="10">
        <f>IF(B66="","",F66*G66)</f>
        <v/>
      </c>
      <c r="I66" s="10">
        <f>IF(B66="","",F66+H66)</f>
        <v/>
      </c>
      <c r="J66" s="9" t="n"/>
      <c r="K66" s="12" t="n"/>
      <c r="L66" s="9">
        <f>IF(B66="","",IF(AND(J66&lt;&gt;"Paid",TODAY()&gt;D66),TODAY()-D66,0))</f>
        <v/>
      </c>
      <c r="M66" s="9">
        <f>IF(C66="","",MONTH(C66))</f>
        <v/>
      </c>
      <c r="N66" s="9">
        <f>IF(C66="","",YEAR(C66))</f>
        <v/>
      </c>
    </row>
    <row r="67">
      <c r="A67" s="9">
        <f>IF(B67="","",InvoicePrefix&amp;TEXT(StartNumber+ROW()-2,"0000"))</f>
        <v/>
      </c>
      <c r="B67" s="9" t="n"/>
      <c r="C67" s="12" t="n"/>
      <c r="D67" s="12" t="n"/>
      <c r="E67" s="9" t="n"/>
      <c r="F67" s="10" t="n"/>
      <c r="G67" s="13">
        <f>TaxRate</f>
        <v/>
      </c>
      <c r="H67" s="10">
        <f>IF(B67="","",F67*G67)</f>
        <v/>
      </c>
      <c r="I67" s="10">
        <f>IF(B67="","",F67+H67)</f>
        <v/>
      </c>
      <c r="J67" s="9" t="n"/>
      <c r="K67" s="12" t="n"/>
      <c r="L67" s="9">
        <f>IF(B67="","",IF(AND(J67&lt;&gt;"Paid",TODAY()&gt;D67),TODAY()-D67,0))</f>
        <v/>
      </c>
      <c r="M67" s="9">
        <f>IF(C67="","",MONTH(C67))</f>
        <v/>
      </c>
      <c r="N67" s="9">
        <f>IF(C67="","",YEAR(C67))</f>
        <v/>
      </c>
    </row>
    <row r="68">
      <c r="A68" s="9">
        <f>IF(B68="","",InvoicePrefix&amp;TEXT(StartNumber+ROW()-2,"0000"))</f>
        <v/>
      </c>
      <c r="B68" s="9" t="n"/>
      <c r="C68" s="12" t="n"/>
      <c r="D68" s="12" t="n"/>
      <c r="E68" s="9" t="n"/>
      <c r="F68" s="10" t="n"/>
      <c r="G68" s="13">
        <f>TaxRate</f>
        <v/>
      </c>
      <c r="H68" s="10">
        <f>IF(B68="","",F68*G68)</f>
        <v/>
      </c>
      <c r="I68" s="10">
        <f>IF(B68="","",F68+H68)</f>
        <v/>
      </c>
      <c r="J68" s="9" t="n"/>
      <c r="K68" s="12" t="n"/>
      <c r="L68" s="9">
        <f>IF(B68="","",IF(AND(J68&lt;&gt;"Paid",TODAY()&gt;D68),TODAY()-D68,0))</f>
        <v/>
      </c>
      <c r="M68" s="9">
        <f>IF(C68="","",MONTH(C68))</f>
        <v/>
      </c>
      <c r="N68" s="9">
        <f>IF(C68="","",YEAR(C68))</f>
        <v/>
      </c>
    </row>
    <row r="69">
      <c r="A69" s="9">
        <f>IF(B69="","",InvoicePrefix&amp;TEXT(StartNumber+ROW()-2,"0000"))</f>
        <v/>
      </c>
      <c r="B69" s="9" t="n"/>
      <c r="C69" s="12" t="n"/>
      <c r="D69" s="12" t="n"/>
      <c r="E69" s="9" t="n"/>
      <c r="F69" s="10" t="n"/>
      <c r="G69" s="13">
        <f>TaxRate</f>
        <v/>
      </c>
      <c r="H69" s="10">
        <f>IF(B69="","",F69*G69)</f>
        <v/>
      </c>
      <c r="I69" s="10">
        <f>IF(B69="","",F69+H69)</f>
        <v/>
      </c>
      <c r="J69" s="9" t="n"/>
      <c r="K69" s="12" t="n"/>
      <c r="L69" s="9">
        <f>IF(B69="","",IF(AND(J69&lt;&gt;"Paid",TODAY()&gt;D69),TODAY()-D69,0))</f>
        <v/>
      </c>
      <c r="M69" s="9">
        <f>IF(C69="","",MONTH(C69))</f>
        <v/>
      </c>
      <c r="N69" s="9">
        <f>IF(C69="","",YEAR(C69))</f>
        <v/>
      </c>
    </row>
    <row r="70">
      <c r="A70" s="9">
        <f>IF(B70="","",InvoicePrefix&amp;TEXT(StartNumber+ROW()-2,"0000"))</f>
        <v/>
      </c>
      <c r="B70" s="9" t="n"/>
      <c r="C70" s="12" t="n"/>
      <c r="D70" s="12" t="n"/>
      <c r="E70" s="9" t="n"/>
      <c r="F70" s="10" t="n"/>
      <c r="G70" s="13">
        <f>TaxRate</f>
        <v/>
      </c>
      <c r="H70" s="10">
        <f>IF(B70="","",F70*G70)</f>
        <v/>
      </c>
      <c r="I70" s="10">
        <f>IF(B70="","",F70+H70)</f>
        <v/>
      </c>
      <c r="J70" s="9" t="n"/>
      <c r="K70" s="12" t="n"/>
      <c r="L70" s="9">
        <f>IF(B70="","",IF(AND(J70&lt;&gt;"Paid",TODAY()&gt;D70),TODAY()-D70,0))</f>
        <v/>
      </c>
      <c r="M70" s="9">
        <f>IF(C70="","",MONTH(C70))</f>
        <v/>
      </c>
      <c r="N70" s="9">
        <f>IF(C70="","",YEAR(C70))</f>
        <v/>
      </c>
    </row>
    <row r="71">
      <c r="A71" s="9">
        <f>IF(B71="","",InvoicePrefix&amp;TEXT(StartNumber+ROW()-2,"0000"))</f>
        <v/>
      </c>
      <c r="B71" s="9" t="n"/>
      <c r="C71" s="12" t="n"/>
      <c r="D71" s="12" t="n"/>
      <c r="E71" s="9" t="n"/>
      <c r="F71" s="10" t="n"/>
      <c r="G71" s="13">
        <f>TaxRate</f>
        <v/>
      </c>
      <c r="H71" s="10">
        <f>IF(B71="","",F71*G71)</f>
        <v/>
      </c>
      <c r="I71" s="10">
        <f>IF(B71="","",F71+H71)</f>
        <v/>
      </c>
      <c r="J71" s="9" t="n"/>
      <c r="K71" s="12" t="n"/>
      <c r="L71" s="9">
        <f>IF(B71="","",IF(AND(J71&lt;&gt;"Paid",TODAY()&gt;D71),TODAY()-D71,0))</f>
        <v/>
      </c>
      <c r="M71" s="9">
        <f>IF(C71="","",MONTH(C71))</f>
        <v/>
      </c>
      <c r="N71" s="9">
        <f>IF(C71="","",YEAR(C71))</f>
        <v/>
      </c>
    </row>
    <row r="72">
      <c r="A72" s="9">
        <f>IF(B72="","",InvoicePrefix&amp;TEXT(StartNumber+ROW()-2,"0000"))</f>
        <v/>
      </c>
      <c r="B72" s="9" t="n"/>
      <c r="C72" s="12" t="n"/>
      <c r="D72" s="12" t="n"/>
      <c r="E72" s="9" t="n"/>
      <c r="F72" s="10" t="n"/>
      <c r="G72" s="13">
        <f>TaxRate</f>
        <v/>
      </c>
      <c r="H72" s="10">
        <f>IF(B72="","",F72*G72)</f>
        <v/>
      </c>
      <c r="I72" s="10">
        <f>IF(B72="","",F72+H72)</f>
        <v/>
      </c>
      <c r="J72" s="9" t="n"/>
      <c r="K72" s="12" t="n"/>
      <c r="L72" s="9">
        <f>IF(B72="","",IF(AND(J72&lt;&gt;"Paid",TODAY()&gt;D72),TODAY()-D72,0))</f>
        <v/>
      </c>
      <c r="M72" s="9">
        <f>IF(C72="","",MONTH(C72))</f>
        <v/>
      </c>
      <c r="N72" s="9">
        <f>IF(C72="","",YEAR(C72))</f>
        <v/>
      </c>
    </row>
    <row r="73">
      <c r="A73" s="9">
        <f>IF(B73="","",InvoicePrefix&amp;TEXT(StartNumber+ROW()-2,"0000"))</f>
        <v/>
      </c>
      <c r="B73" s="9" t="n"/>
      <c r="C73" s="12" t="n"/>
      <c r="D73" s="12" t="n"/>
      <c r="E73" s="9" t="n"/>
      <c r="F73" s="10" t="n"/>
      <c r="G73" s="13">
        <f>TaxRate</f>
        <v/>
      </c>
      <c r="H73" s="10">
        <f>IF(B73="","",F73*G73)</f>
        <v/>
      </c>
      <c r="I73" s="10">
        <f>IF(B73="","",F73+H73)</f>
        <v/>
      </c>
      <c r="J73" s="9" t="n"/>
      <c r="K73" s="12" t="n"/>
      <c r="L73" s="9">
        <f>IF(B73="","",IF(AND(J73&lt;&gt;"Paid",TODAY()&gt;D73),TODAY()-D73,0))</f>
        <v/>
      </c>
      <c r="M73" s="9">
        <f>IF(C73="","",MONTH(C73))</f>
        <v/>
      </c>
      <c r="N73" s="9">
        <f>IF(C73="","",YEAR(C73))</f>
        <v/>
      </c>
    </row>
    <row r="74">
      <c r="A74" s="9">
        <f>IF(B74="","",InvoicePrefix&amp;TEXT(StartNumber+ROW()-2,"0000"))</f>
        <v/>
      </c>
      <c r="B74" s="9" t="n"/>
      <c r="C74" s="12" t="n"/>
      <c r="D74" s="12" t="n"/>
      <c r="E74" s="9" t="n"/>
      <c r="F74" s="10" t="n"/>
      <c r="G74" s="13">
        <f>TaxRate</f>
        <v/>
      </c>
      <c r="H74" s="10">
        <f>IF(B74="","",F74*G74)</f>
        <v/>
      </c>
      <c r="I74" s="10">
        <f>IF(B74="","",F74+H74)</f>
        <v/>
      </c>
      <c r="J74" s="9" t="n"/>
      <c r="K74" s="12" t="n"/>
      <c r="L74" s="9">
        <f>IF(B74="","",IF(AND(J74&lt;&gt;"Paid",TODAY()&gt;D74),TODAY()-D74,0))</f>
        <v/>
      </c>
      <c r="M74" s="9">
        <f>IF(C74="","",MONTH(C74))</f>
        <v/>
      </c>
      <c r="N74" s="9">
        <f>IF(C74="","",YEAR(C74))</f>
        <v/>
      </c>
    </row>
    <row r="75">
      <c r="A75" s="9">
        <f>IF(B75="","",InvoicePrefix&amp;TEXT(StartNumber+ROW()-2,"0000"))</f>
        <v/>
      </c>
      <c r="B75" s="9" t="n"/>
      <c r="C75" s="12" t="n"/>
      <c r="D75" s="12" t="n"/>
      <c r="E75" s="9" t="n"/>
      <c r="F75" s="10" t="n"/>
      <c r="G75" s="13">
        <f>TaxRate</f>
        <v/>
      </c>
      <c r="H75" s="10">
        <f>IF(B75="","",F75*G75)</f>
        <v/>
      </c>
      <c r="I75" s="10">
        <f>IF(B75="","",F75+H75)</f>
        <v/>
      </c>
      <c r="J75" s="9" t="n"/>
      <c r="K75" s="12" t="n"/>
      <c r="L75" s="9">
        <f>IF(B75="","",IF(AND(J75&lt;&gt;"Paid",TODAY()&gt;D75),TODAY()-D75,0))</f>
        <v/>
      </c>
      <c r="M75" s="9">
        <f>IF(C75="","",MONTH(C75))</f>
        <v/>
      </c>
      <c r="N75" s="9">
        <f>IF(C75="","",YEAR(C75))</f>
        <v/>
      </c>
    </row>
    <row r="76">
      <c r="A76" s="9">
        <f>IF(B76="","",InvoicePrefix&amp;TEXT(StartNumber+ROW()-2,"0000"))</f>
        <v/>
      </c>
      <c r="B76" s="9" t="n"/>
      <c r="C76" s="12" t="n"/>
      <c r="D76" s="12" t="n"/>
      <c r="E76" s="9" t="n"/>
      <c r="F76" s="10" t="n"/>
      <c r="G76" s="13">
        <f>TaxRate</f>
        <v/>
      </c>
      <c r="H76" s="10">
        <f>IF(B76="","",F76*G76)</f>
        <v/>
      </c>
      <c r="I76" s="10">
        <f>IF(B76="","",F76+H76)</f>
        <v/>
      </c>
      <c r="J76" s="9" t="n"/>
      <c r="K76" s="12" t="n"/>
      <c r="L76" s="9">
        <f>IF(B76="","",IF(AND(J76&lt;&gt;"Paid",TODAY()&gt;D76),TODAY()-D76,0))</f>
        <v/>
      </c>
      <c r="M76" s="9">
        <f>IF(C76="","",MONTH(C76))</f>
        <v/>
      </c>
      <c r="N76" s="9">
        <f>IF(C76="","",YEAR(C76))</f>
        <v/>
      </c>
    </row>
    <row r="77">
      <c r="A77" s="9">
        <f>IF(B77="","",InvoicePrefix&amp;TEXT(StartNumber+ROW()-2,"0000"))</f>
        <v/>
      </c>
      <c r="B77" s="9" t="n"/>
      <c r="C77" s="12" t="n"/>
      <c r="D77" s="12" t="n"/>
      <c r="E77" s="9" t="n"/>
      <c r="F77" s="10" t="n"/>
      <c r="G77" s="13">
        <f>TaxRate</f>
        <v/>
      </c>
      <c r="H77" s="10">
        <f>IF(B77="","",F77*G77)</f>
        <v/>
      </c>
      <c r="I77" s="10">
        <f>IF(B77="","",F77+H77)</f>
        <v/>
      </c>
      <c r="J77" s="9" t="n"/>
      <c r="K77" s="12" t="n"/>
      <c r="L77" s="9">
        <f>IF(B77="","",IF(AND(J77&lt;&gt;"Paid",TODAY()&gt;D77),TODAY()-D77,0))</f>
        <v/>
      </c>
      <c r="M77" s="9">
        <f>IF(C77="","",MONTH(C77))</f>
        <v/>
      </c>
      <c r="N77" s="9">
        <f>IF(C77="","",YEAR(C77))</f>
        <v/>
      </c>
    </row>
    <row r="78">
      <c r="A78" s="9">
        <f>IF(B78="","",InvoicePrefix&amp;TEXT(StartNumber+ROW()-2,"0000"))</f>
        <v/>
      </c>
      <c r="B78" s="9" t="n"/>
      <c r="C78" s="12" t="n"/>
      <c r="D78" s="12" t="n"/>
      <c r="E78" s="9" t="n"/>
      <c r="F78" s="10" t="n"/>
      <c r="G78" s="13">
        <f>TaxRate</f>
        <v/>
      </c>
      <c r="H78" s="10">
        <f>IF(B78="","",F78*G78)</f>
        <v/>
      </c>
      <c r="I78" s="10">
        <f>IF(B78="","",F78+H78)</f>
        <v/>
      </c>
      <c r="J78" s="9" t="n"/>
      <c r="K78" s="12" t="n"/>
      <c r="L78" s="9">
        <f>IF(B78="","",IF(AND(J78&lt;&gt;"Paid",TODAY()&gt;D78),TODAY()-D78,0))</f>
        <v/>
      </c>
      <c r="M78" s="9">
        <f>IF(C78="","",MONTH(C78))</f>
        <v/>
      </c>
      <c r="N78" s="9">
        <f>IF(C78="","",YEAR(C78))</f>
        <v/>
      </c>
    </row>
    <row r="79">
      <c r="A79" s="9">
        <f>IF(B79="","",InvoicePrefix&amp;TEXT(StartNumber+ROW()-2,"0000"))</f>
        <v/>
      </c>
      <c r="B79" s="9" t="n"/>
      <c r="C79" s="12" t="n"/>
      <c r="D79" s="12" t="n"/>
      <c r="E79" s="9" t="n"/>
      <c r="F79" s="10" t="n"/>
      <c r="G79" s="13">
        <f>TaxRate</f>
        <v/>
      </c>
      <c r="H79" s="10">
        <f>IF(B79="","",F79*G79)</f>
        <v/>
      </c>
      <c r="I79" s="10">
        <f>IF(B79="","",F79+H79)</f>
        <v/>
      </c>
      <c r="J79" s="9" t="n"/>
      <c r="K79" s="12" t="n"/>
      <c r="L79" s="9">
        <f>IF(B79="","",IF(AND(J79&lt;&gt;"Paid",TODAY()&gt;D79),TODAY()-D79,0))</f>
        <v/>
      </c>
      <c r="M79" s="9">
        <f>IF(C79="","",MONTH(C79))</f>
        <v/>
      </c>
      <c r="N79" s="9">
        <f>IF(C79="","",YEAR(C79))</f>
        <v/>
      </c>
    </row>
    <row r="80">
      <c r="A80" s="9">
        <f>IF(B80="","",InvoicePrefix&amp;TEXT(StartNumber+ROW()-2,"0000"))</f>
        <v/>
      </c>
      <c r="B80" s="9" t="n"/>
      <c r="C80" s="12" t="n"/>
      <c r="D80" s="12" t="n"/>
      <c r="E80" s="9" t="n"/>
      <c r="F80" s="10" t="n"/>
      <c r="G80" s="13">
        <f>TaxRate</f>
        <v/>
      </c>
      <c r="H80" s="10">
        <f>IF(B80="","",F80*G80)</f>
        <v/>
      </c>
      <c r="I80" s="10">
        <f>IF(B80="","",F80+H80)</f>
        <v/>
      </c>
      <c r="J80" s="9" t="n"/>
      <c r="K80" s="12" t="n"/>
      <c r="L80" s="9">
        <f>IF(B80="","",IF(AND(J80&lt;&gt;"Paid",TODAY()&gt;D80),TODAY()-D80,0))</f>
        <v/>
      </c>
      <c r="M80" s="9">
        <f>IF(C80="","",MONTH(C80))</f>
        <v/>
      </c>
      <c r="N80" s="9">
        <f>IF(C80="","",YEAR(C80))</f>
        <v/>
      </c>
    </row>
    <row r="81">
      <c r="A81" s="9">
        <f>IF(B81="","",InvoicePrefix&amp;TEXT(StartNumber+ROW()-2,"0000"))</f>
        <v/>
      </c>
      <c r="B81" s="9" t="n"/>
      <c r="C81" s="12" t="n"/>
      <c r="D81" s="12" t="n"/>
      <c r="E81" s="9" t="n"/>
      <c r="F81" s="10" t="n"/>
      <c r="G81" s="13">
        <f>TaxRate</f>
        <v/>
      </c>
      <c r="H81" s="10">
        <f>IF(B81="","",F81*G81)</f>
        <v/>
      </c>
      <c r="I81" s="10">
        <f>IF(B81="","",F81+H81)</f>
        <v/>
      </c>
      <c r="J81" s="9" t="n"/>
      <c r="K81" s="12" t="n"/>
      <c r="L81" s="9">
        <f>IF(B81="","",IF(AND(J81&lt;&gt;"Paid",TODAY()&gt;D81),TODAY()-D81,0))</f>
        <v/>
      </c>
      <c r="M81" s="9">
        <f>IF(C81="","",MONTH(C81))</f>
        <v/>
      </c>
      <c r="N81" s="9">
        <f>IF(C81="","",YEAR(C81))</f>
        <v/>
      </c>
    </row>
    <row r="82">
      <c r="A82" s="9">
        <f>IF(B82="","",InvoicePrefix&amp;TEXT(StartNumber+ROW()-2,"0000"))</f>
        <v/>
      </c>
      <c r="B82" s="9" t="n"/>
      <c r="C82" s="12" t="n"/>
      <c r="D82" s="12" t="n"/>
      <c r="E82" s="9" t="n"/>
      <c r="F82" s="10" t="n"/>
      <c r="G82" s="13">
        <f>TaxRate</f>
        <v/>
      </c>
      <c r="H82" s="10">
        <f>IF(B82="","",F82*G82)</f>
        <v/>
      </c>
      <c r="I82" s="10">
        <f>IF(B82="","",F82+H82)</f>
        <v/>
      </c>
      <c r="J82" s="9" t="n"/>
      <c r="K82" s="12" t="n"/>
      <c r="L82" s="9">
        <f>IF(B82="","",IF(AND(J82&lt;&gt;"Paid",TODAY()&gt;D82),TODAY()-D82,0))</f>
        <v/>
      </c>
      <c r="M82" s="9">
        <f>IF(C82="","",MONTH(C82))</f>
        <v/>
      </c>
      <c r="N82" s="9">
        <f>IF(C82="","",YEAR(C82))</f>
        <v/>
      </c>
    </row>
    <row r="83">
      <c r="A83" s="9">
        <f>IF(B83="","",InvoicePrefix&amp;TEXT(StartNumber+ROW()-2,"0000"))</f>
        <v/>
      </c>
      <c r="B83" s="9" t="n"/>
      <c r="C83" s="12" t="n"/>
      <c r="D83" s="12" t="n"/>
      <c r="E83" s="9" t="n"/>
      <c r="F83" s="10" t="n"/>
      <c r="G83" s="13">
        <f>TaxRate</f>
        <v/>
      </c>
      <c r="H83" s="10">
        <f>IF(B83="","",F83*G83)</f>
        <v/>
      </c>
      <c r="I83" s="10">
        <f>IF(B83="","",F83+H83)</f>
        <v/>
      </c>
      <c r="J83" s="9" t="n"/>
      <c r="K83" s="12" t="n"/>
      <c r="L83" s="9">
        <f>IF(B83="","",IF(AND(J83&lt;&gt;"Paid",TODAY()&gt;D83),TODAY()-D83,0))</f>
        <v/>
      </c>
      <c r="M83" s="9">
        <f>IF(C83="","",MONTH(C83))</f>
        <v/>
      </c>
      <c r="N83" s="9">
        <f>IF(C83="","",YEAR(C83))</f>
        <v/>
      </c>
    </row>
    <row r="84">
      <c r="A84" s="9">
        <f>IF(B84="","",InvoicePrefix&amp;TEXT(StartNumber+ROW()-2,"0000"))</f>
        <v/>
      </c>
      <c r="B84" s="9" t="n"/>
      <c r="C84" s="12" t="n"/>
      <c r="D84" s="12" t="n"/>
      <c r="E84" s="9" t="n"/>
      <c r="F84" s="10" t="n"/>
      <c r="G84" s="13">
        <f>TaxRate</f>
        <v/>
      </c>
      <c r="H84" s="10">
        <f>IF(B84="","",F84*G84)</f>
        <v/>
      </c>
      <c r="I84" s="10">
        <f>IF(B84="","",F84+H84)</f>
        <v/>
      </c>
      <c r="J84" s="9" t="n"/>
      <c r="K84" s="12" t="n"/>
      <c r="L84" s="9">
        <f>IF(B84="","",IF(AND(J84&lt;&gt;"Paid",TODAY()&gt;D84),TODAY()-D84,0))</f>
        <v/>
      </c>
      <c r="M84" s="9">
        <f>IF(C84="","",MONTH(C84))</f>
        <v/>
      </c>
      <c r="N84" s="9">
        <f>IF(C84="","",YEAR(C84))</f>
        <v/>
      </c>
    </row>
    <row r="85">
      <c r="A85" s="9">
        <f>IF(B85="","",InvoicePrefix&amp;TEXT(StartNumber+ROW()-2,"0000"))</f>
        <v/>
      </c>
      <c r="B85" s="9" t="n"/>
      <c r="C85" s="12" t="n"/>
      <c r="D85" s="12" t="n"/>
      <c r="E85" s="9" t="n"/>
      <c r="F85" s="10" t="n"/>
      <c r="G85" s="13">
        <f>TaxRate</f>
        <v/>
      </c>
      <c r="H85" s="10">
        <f>IF(B85="","",F85*G85)</f>
        <v/>
      </c>
      <c r="I85" s="10">
        <f>IF(B85="","",F85+H85)</f>
        <v/>
      </c>
      <c r="J85" s="9" t="n"/>
      <c r="K85" s="12" t="n"/>
      <c r="L85" s="9">
        <f>IF(B85="","",IF(AND(J85&lt;&gt;"Paid",TODAY()&gt;D85),TODAY()-D85,0))</f>
        <v/>
      </c>
      <c r="M85" s="9">
        <f>IF(C85="","",MONTH(C85))</f>
        <v/>
      </c>
      <c r="N85" s="9">
        <f>IF(C85="","",YEAR(C85))</f>
        <v/>
      </c>
    </row>
    <row r="86">
      <c r="A86" s="9">
        <f>IF(B86="","",InvoicePrefix&amp;TEXT(StartNumber+ROW()-2,"0000"))</f>
        <v/>
      </c>
      <c r="B86" s="9" t="n"/>
      <c r="C86" s="12" t="n"/>
      <c r="D86" s="12" t="n"/>
      <c r="E86" s="9" t="n"/>
      <c r="F86" s="10" t="n"/>
      <c r="G86" s="13">
        <f>TaxRate</f>
        <v/>
      </c>
      <c r="H86" s="10">
        <f>IF(B86="","",F86*G86)</f>
        <v/>
      </c>
      <c r="I86" s="10">
        <f>IF(B86="","",F86+H86)</f>
        <v/>
      </c>
      <c r="J86" s="9" t="n"/>
      <c r="K86" s="12" t="n"/>
      <c r="L86" s="9">
        <f>IF(B86="","",IF(AND(J86&lt;&gt;"Paid",TODAY()&gt;D86),TODAY()-D86,0))</f>
        <v/>
      </c>
      <c r="M86" s="9">
        <f>IF(C86="","",MONTH(C86))</f>
        <v/>
      </c>
      <c r="N86" s="9">
        <f>IF(C86="","",YEAR(C86))</f>
        <v/>
      </c>
    </row>
    <row r="87">
      <c r="A87" s="9">
        <f>IF(B87="","",InvoicePrefix&amp;TEXT(StartNumber+ROW()-2,"0000"))</f>
        <v/>
      </c>
      <c r="B87" s="9" t="n"/>
      <c r="C87" s="12" t="n"/>
      <c r="D87" s="12" t="n"/>
      <c r="E87" s="9" t="n"/>
      <c r="F87" s="10" t="n"/>
      <c r="G87" s="13">
        <f>TaxRate</f>
        <v/>
      </c>
      <c r="H87" s="10">
        <f>IF(B87="","",F87*G87)</f>
        <v/>
      </c>
      <c r="I87" s="10">
        <f>IF(B87="","",F87+H87)</f>
        <v/>
      </c>
      <c r="J87" s="9" t="n"/>
      <c r="K87" s="12" t="n"/>
      <c r="L87" s="9">
        <f>IF(B87="","",IF(AND(J87&lt;&gt;"Paid",TODAY()&gt;D87),TODAY()-D87,0))</f>
        <v/>
      </c>
      <c r="M87" s="9">
        <f>IF(C87="","",MONTH(C87))</f>
        <v/>
      </c>
      <c r="N87" s="9">
        <f>IF(C87="","",YEAR(C87))</f>
        <v/>
      </c>
    </row>
    <row r="88">
      <c r="A88" s="9">
        <f>IF(B88="","",InvoicePrefix&amp;TEXT(StartNumber+ROW()-2,"0000"))</f>
        <v/>
      </c>
      <c r="B88" s="9" t="n"/>
      <c r="C88" s="12" t="n"/>
      <c r="D88" s="12" t="n"/>
      <c r="E88" s="9" t="n"/>
      <c r="F88" s="10" t="n"/>
      <c r="G88" s="13">
        <f>TaxRate</f>
        <v/>
      </c>
      <c r="H88" s="10">
        <f>IF(B88="","",F88*G88)</f>
        <v/>
      </c>
      <c r="I88" s="10">
        <f>IF(B88="","",F88+H88)</f>
        <v/>
      </c>
      <c r="J88" s="9" t="n"/>
      <c r="K88" s="12" t="n"/>
      <c r="L88" s="9">
        <f>IF(B88="","",IF(AND(J88&lt;&gt;"Paid",TODAY()&gt;D88),TODAY()-D88,0))</f>
        <v/>
      </c>
      <c r="M88" s="9">
        <f>IF(C88="","",MONTH(C88))</f>
        <v/>
      </c>
      <c r="N88" s="9">
        <f>IF(C88="","",YEAR(C88))</f>
        <v/>
      </c>
    </row>
    <row r="89">
      <c r="A89" s="9">
        <f>IF(B89="","",InvoicePrefix&amp;TEXT(StartNumber+ROW()-2,"0000"))</f>
        <v/>
      </c>
      <c r="B89" s="9" t="n"/>
      <c r="C89" s="12" t="n"/>
      <c r="D89" s="12" t="n"/>
      <c r="E89" s="9" t="n"/>
      <c r="F89" s="10" t="n"/>
      <c r="G89" s="13">
        <f>TaxRate</f>
        <v/>
      </c>
      <c r="H89" s="10">
        <f>IF(B89="","",F89*G89)</f>
        <v/>
      </c>
      <c r="I89" s="10">
        <f>IF(B89="","",F89+H89)</f>
        <v/>
      </c>
      <c r="J89" s="9" t="n"/>
      <c r="K89" s="12" t="n"/>
      <c r="L89" s="9">
        <f>IF(B89="","",IF(AND(J89&lt;&gt;"Paid",TODAY()&gt;D89),TODAY()-D89,0))</f>
        <v/>
      </c>
      <c r="M89" s="9">
        <f>IF(C89="","",MONTH(C89))</f>
        <v/>
      </c>
      <c r="N89" s="9">
        <f>IF(C89="","",YEAR(C89))</f>
        <v/>
      </c>
    </row>
    <row r="90">
      <c r="A90" s="9">
        <f>IF(B90="","",InvoicePrefix&amp;TEXT(StartNumber+ROW()-2,"0000"))</f>
        <v/>
      </c>
      <c r="B90" s="9" t="n"/>
      <c r="C90" s="12" t="n"/>
      <c r="D90" s="12" t="n"/>
      <c r="E90" s="9" t="n"/>
      <c r="F90" s="10" t="n"/>
      <c r="G90" s="13">
        <f>TaxRate</f>
        <v/>
      </c>
      <c r="H90" s="10">
        <f>IF(B90="","",F90*G90)</f>
        <v/>
      </c>
      <c r="I90" s="10">
        <f>IF(B90="","",F90+H90)</f>
        <v/>
      </c>
      <c r="J90" s="9" t="n"/>
      <c r="K90" s="12" t="n"/>
      <c r="L90" s="9">
        <f>IF(B90="","",IF(AND(J90&lt;&gt;"Paid",TODAY()&gt;D90),TODAY()-D90,0))</f>
        <v/>
      </c>
      <c r="M90" s="9">
        <f>IF(C90="","",MONTH(C90))</f>
        <v/>
      </c>
      <c r="N90" s="9">
        <f>IF(C90="","",YEAR(C90))</f>
        <v/>
      </c>
    </row>
    <row r="91">
      <c r="A91" s="9">
        <f>IF(B91="","",InvoicePrefix&amp;TEXT(StartNumber+ROW()-2,"0000"))</f>
        <v/>
      </c>
      <c r="B91" s="9" t="n"/>
      <c r="C91" s="12" t="n"/>
      <c r="D91" s="12" t="n"/>
      <c r="E91" s="9" t="n"/>
      <c r="F91" s="10" t="n"/>
      <c r="G91" s="13">
        <f>TaxRate</f>
        <v/>
      </c>
      <c r="H91" s="10">
        <f>IF(B91="","",F91*G91)</f>
        <v/>
      </c>
      <c r="I91" s="10">
        <f>IF(B91="","",F91+H91)</f>
        <v/>
      </c>
      <c r="J91" s="9" t="n"/>
      <c r="K91" s="12" t="n"/>
      <c r="L91" s="9">
        <f>IF(B91="","",IF(AND(J91&lt;&gt;"Paid",TODAY()&gt;D91),TODAY()-D91,0))</f>
        <v/>
      </c>
      <c r="M91" s="9">
        <f>IF(C91="","",MONTH(C91))</f>
        <v/>
      </c>
      <c r="N91" s="9">
        <f>IF(C91="","",YEAR(C91))</f>
        <v/>
      </c>
    </row>
    <row r="92">
      <c r="A92" s="9">
        <f>IF(B92="","",InvoicePrefix&amp;TEXT(StartNumber+ROW()-2,"0000"))</f>
        <v/>
      </c>
      <c r="B92" s="9" t="n"/>
      <c r="C92" s="12" t="n"/>
      <c r="D92" s="12" t="n"/>
      <c r="E92" s="9" t="n"/>
      <c r="F92" s="10" t="n"/>
      <c r="G92" s="13">
        <f>TaxRate</f>
        <v/>
      </c>
      <c r="H92" s="10">
        <f>IF(B92="","",F92*G92)</f>
        <v/>
      </c>
      <c r="I92" s="10">
        <f>IF(B92="","",F92+H92)</f>
        <v/>
      </c>
      <c r="J92" s="9" t="n"/>
      <c r="K92" s="12" t="n"/>
      <c r="L92" s="9">
        <f>IF(B92="","",IF(AND(J92&lt;&gt;"Paid",TODAY()&gt;D92),TODAY()-D92,0))</f>
        <v/>
      </c>
      <c r="M92" s="9">
        <f>IF(C92="","",MONTH(C92))</f>
        <v/>
      </c>
      <c r="N92" s="9">
        <f>IF(C92="","",YEAR(C92))</f>
        <v/>
      </c>
    </row>
    <row r="93">
      <c r="A93" s="9">
        <f>IF(B93="","",InvoicePrefix&amp;TEXT(StartNumber+ROW()-2,"0000"))</f>
        <v/>
      </c>
      <c r="B93" s="9" t="n"/>
      <c r="C93" s="12" t="n"/>
      <c r="D93" s="12" t="n"/>
      <c r="E93" s="9" t="n"/>
      <c r="F93" s="10" t="n"/>
      <c r="G93" s="13">
        <f>TaxRate</f>
        <v/>
      </c>
      <c r="H93" s="10">
        <f>IF(B93="","",F93*G93)</f>
        <v/>
      </c>
      <c r="I93" s="10">
        <f>IF(B93="","",F93+H93)</f>
        <v/>
      </c>
      <c r="J93" s="9" t="n"/>
      <c r="K93" s="12" t="n"/>
      <c r="L93" s="9">
        <f>IF(B93="","",IF(AND(J93&lt;&gt;"Paid",TODAY()&gt;D93),TODAY()-D93,0))</f>
        <v/>
      </c>
      <c r="M93" s="9">
        <f>IF(C93="","",MONTH(C93))</f>
        <v/>
      </c>
      <c r="N93" s="9">
        <f>IF(C93="","",YEAR(C93))</f>
        <v/>
      </c>
    </row>
    <row r="94">
      <c r="A94" s="9">
        <f>IF(B94="","",InvoicePrefix&amp;TEXT(StartNumber+ROW()-2,"0000"))</f>
        <v/>
      </c>
      <c r="B94" s="9" t="n"/>
      <c r="C94" s="12" t="n"/>
      <c r="D94" s="12" t="n"/>
      <c r="E94" s="9" t="n"/>
      <c r="F94" s="10" t="n"/>
      <c r="G94" s="13">
        <f>TaxRate</f>
        <v/>
      </c>
      <c r="H94" s="10">
        <f>IF(B94="","",F94*G94)</f>
        <v/>
      </c>
      <c r="I94" s="10">
        <f>IF(B94="","",F94+H94)</f>
        <v/>
      </c>
      <c r="J94" s="9" t="n"/>
      <c r="K94" s="12" t="n"/>
      <c r="L94" s="9">
        <f>IF(B94="","",IF(AND(J94&lt;&gt;"Paid",TODAY()&gt;D94),TODAY()-D94,0))</f>
        <v/>
      </c>
      <c r="M94" s="9">
        <f>IF(C94="","",MONTH(C94))</f>
        <v/>
      </c>
      <c r="N94" s="9">
        <f>IF(C94="","",YEAR(C94))</f>
        <v/>
      </c>
    </row>
    <row r="95">
      <c r="A95" s="9">
        <f>IF(B95="","",InvoicePrefix&amp;TEXT(StartNumber+ROW()-2,"0000"))</f>
        <v/>
      </c>
      <c r="B95" s="9" t="n"/>
      <c r="C95" s="12" t="n"/>
      <c r="D95" s="12" t="n"/>
      <c r="E95" s="9" t="n"/>
      <c r="F95" s="10" t="n"/>
      <c r="G95" s="13">
        <f>TaxRate</f>
        <v/>
      </c>
      <c r="H95" s="10">
        <f>IF(B95="","",F95*G95)</f>
        <v/>
      </c>
      <c r="I95" s="10">
        <f>IF(B95="","",F95+H95)</f>
        <v/>
      </c>
      <c r="J95" s="9" t="n"/>
      <c r="K95" s="12" t="n"/>
      <c r="L95" s="9">
        <f>IF(B95="","",IF(AND(J95&lt;&gt;"Paid",TODAY()&gt;D95),TODAY()-D95,0))</f>
        <v/>
      </c>
      <c r="M95" s="9">
        <f>IF(C95="","",MONTH(C95))</f>
        <v/>
      </c>
      <c r="N95" s="9">
        <f>IF(C95="","",YEAR(C95))</f>
        <v/>
      </c>
    </row>
    <row r="96">
      <c r="A96" s="9">
        <f>IF(B96="","",InvoicePrefix&amp;TEXT(StartNumber+ROW()-2,"0000"))</f>
        <v/>
      </c>
      <c r="B96" s="9" t="n"/>
      <c r="C96" s="12" t="n"/>
      <c r="D96" s="12" t="n"/>
      <c r="E96" s="9" t="n"/>
      <c r="F96" s="10" t="n"/>
      <c r="G96" s="13">
        <f>TaxRate</f>
        <v/>
      </c>
      <c r="H96" s="10">
        <f>IF(B96="","",F96*G96)</f>
        <v/>
      </c>
      <c r="I96" s="10">
        <f>IF(B96="","",F96+H96)</f>
        <v/>
      </c>
      <c r="J96" s="9" t="n"/>
      <c r="K96" s="12" t="n"/>
      <c r="L96" s="9">
        <f>IF(B96="","",IF(AND(J96&lt;&gt;"Paid",TODAY()&gt;D96),TODAY()-D96,0))</f>
        <v/>
      </c>
      <c r="M96" s="9">
        <f>IF(C96="","",MONTH(C96))</f>
        <v/>
      </c>
      <c r="N96" s="9">
        <f>IF(C96="","",YEAR(C96))</f>
        <v/>
      </c>
    </row>
    <row r="97">
      <c r="A97" s="9">
        <f>IF(B97="","",InvoicePrefix&amp;TEXT(StartNumber+ROW()-2,"0000"))</f>
        <v/>
      </c>
      <c r="B97" s="9" t="n"/>
      <c r="C97" s="12" t="n"/>
      <c r="D97" s="12" t="n"/>
      <c r="E97" s="9" t="n"/>
      <c r="F97" s="10" t="n"/>
      <c r="G97" s="13">
        <f>TaxRate</f>
        <v/>
      </c>
      <c r="H97" s="10">
        <f>IF(B97="","",F97*G97)</f>
        <v/>
      </c>
      <c r="I97" s="10">
        <f>IF(B97="","",F97+H97)</f>
        <v/>
      </c>
      <c r="J97" s="9" t="n"/>
      <c r="K97" s="12" t="n"/>
      <c r="L97" s="9">
        <f>IF(B97="","",IF(AND(J97&lt;&gt;"Paid",TODAY()&gt;D97),TODAY()-D97,0))</f>
        <v/>
      </c>
      <c r="M97" s="9">
        <f>IF(C97="","",MONTH(C97))</f>
        <v/>
      </c>
      <c r="N97" s="9">
        <f>IF(C97="","",YEAR(C97))</f>
        <v/>
      </c>
    </row>
    <row r="98">
      <c r="A98" s="9">
        <f>IF(B98="","",InvoicePrefix&amp;TEXT(StartNumber+ROW()-2,"0000"))</f>
        <v/>
      </c>
      <c r="B98" s="9" t="n"/>
      <c r="C98" s="12" t="n"/>
      <c r="D98" s="12" t="n"/>
      <c r="E98" s="9" t="n"/>
      <c r="F98" s="10" t="n"/>
      <c r="G98" s="13">
        <f>TaxRate</f>
        <v/>
      </c>
      <c r="H98" s="10">
        <f>IF(B98="","",F98*G98)</f>
        <v/>
      </c>
      <c r="I98" s="10">
        <f>IF(B98="","",F98+H98)</f>
        <v/>
      </c>
      <c r="J98" s="9" t="n"/>
      <c r="K98" s="12" t="n"/>
      <c r="L98" s="9">
        <f>IF(B98="","",IF(AND(J98&lt;&gt;"Paid",TODAY()&gt;D98),TODAY()-D98,0))</f>
        <v/>
      </c>
      <c r="M98" s="9">
        <f>IF(C98="","",MONTH(C98))</f>
        <v/>
      </c>
      <c r="N98" s="9">
        <f>IF(C98="","",YEAR(C98))</f>
        <v/>
      </c>
    </row>
    <row r="99">
      <c r="A99" s="9">
        <f>IF(B99="","",InvoicePrefix&amp;TEXT(StartNumber+ROW()-2,"0000"))</f>
        <v/>
      </c>
      <c r="B99" s="9" t="n"/>
      <c r="C99" s="12" t="n"/>
      <c r="D99" s="12" t="n"/>
      <c r="E99" s="9" t="n"/>
      <c r="F99" s="10" t="n"/>
      <c r="G99" s="13">
        <f>TaxRate</f>
        <v/>
      </c>
      <c r="H99" s="10">
        <f>IF(B99="","",F99*G99)</f>
        <v/>
      </c>
      <c r="I99" s="10">
        <f>IF(B99="","",F99+H99)</f>
        <v/>
      </c>
      <c r="J99" s="9" t="n"/>
      <c r="K99" s="12" t="n"/>
      <c r="L99" s="9">
        <f>IF(B99="","",IF(AND(J99&lt;&gt;"Paid",TODAY()&gt;D99),TODAY()-D99,0))</f>
        <v/>
      </c>
      <c r="M99" s="9">
        <f>IF(C99="","",MONTH(C99))</f>
        <v/>
      </c>
      <c r="N99" s="9">
        <f>IF(C99="","",YEAR(C99))</f>
        <v/>
      </c>
    </row>
    <row r="100">
      <c r="A100" s="9">
        <f>IF(B100="","",InvoicePrefix&amp;TEXT(StartNumber+ROW()-2,"0000"))</f>
        <v/>
      </c>
      <c r="B100" s="9" t="n"/>
      <c r="C100" s="12" t="n"/>
      <c r="D100" s="12" t="n"/>
      <c r="E100" s="9" t="n"/>
      <c r="F100" s="10" t="n"/>
      <c r="G100" s="13">
        <f>TaxRate</f>
        <v/>
      </c>
      <c r="H100" s="10">
        <f>IF(B100="","",F100*G100)</f>
        <v/>
      </c>
      <c r="I100" s="10">
        <f>IF(B100="","",F100+H100)</f>
        <v/>
      </c>
      <c r="J100" s="9" t="n"/>
      <c r="K100" s="12" t="n"/>
      <c r="L100" s="9">
        <f>IF(B100="","",IF(AND(J100&lt;&gt;"Paid",TODAY()&gt;D100),TODAY()-D100,0))</f>
        <v/>
      </c>
      <c r="M100" s="9">
        <f>IF(C100="","",MONTH(C100))</f>
        <v/>
      </c>
      <c r="N100" s="9">
        <f>IF(C100="","",YEAR(C100))</f>
        <v/>
      </c>
    </row>
    <row r="101">
      <c r="A101" s="9">
        <f>IF(B101="","",InvoicePrefix&amp;TEXT(StartNumber+ROW()-2,"0000"))</f>
        <v/>
      </c>
      <c r="B101" s="9" t="n"/>
      <c r="C101" s="12" t="n"/>
      <c r="D101" s="12" t="n"/>
      <c r="E101" s="9" t="n"/>
      <c r="F101" s="10" t="n"/>
      <c r="G101" s="13">
        <f>TaxRate</f>
        <v/>
      </c>
      <c r="H101" s="10">
        <f>IF(B101="","",F101*G101)</f>
        <v/>
      </c>
      <c r="I101" s="10">
        <f>IF(B101="","",F101+H101)</f>
        <v/>
      </c>
      <c r="J101" s="9" t="n"/>
      <c r="K101" s="12" t="n"/>
      <c r="L101" s="9">
        <f>IF(B101="","",IF(AND(J101&lt;&gt;"Paid",TODAY()&gt;D101),TODAY()-D101,0))</f>
        <v/>
      </c>
      <c r="M101" s="9">
        <f>IF(C101="","",MONTH(C101))</f>
        <v/>
      </c>
      <c r="N101" s="9">
        <f>IF(C101="","",YEAR(C101))</f>
        <v/>
      </c>
    </row>
    <row r="102">
      <c r="A102" s="9">
        <f>IF(B102="","",InvoicePrefix&amp;TEXT(StartNumber+ROW()-2,"0000"))</f>
        <v/>
      </c>
      <c r="B102" s="9" t="n"/>
      <c r="C102" s="12" t="n"/>
      <c r="D102" s="12" t="n"/>
      <c r="E102" s="9" t="n"/>
      <c r="F102" s="10" t="n"/>
      <c r="G102" s="13">
        <f>TaxRate</f>
        <v/>
      </c>
      <c r="H102" s="10">
        <f>IF(B102="","",F102*G102)</f>
        <v/>
      </c>
      <c r="I102" s="10">
        <f>IF(B102="","",F102+H102)</f>
        <v/>
      </c>
      <c r="J102" s="9" t="n"/>
      <c r="K102" s="12" t="n"/>
      <c r="L102" s="9">
        <f>IF(B102="","",IF(AND(J102&lt;&gt;"Paid",TODAY()&gt;D102),TODAY()-D102,0))</f>
        <v/>
      </c>
      <c r="M102" s="9">
        <f>IF(C102="","",MONTH(C102))</f>
        <v/>
      </c>
      <c r="N102" s="9">
        <f>IF(C102="","",YEAR(C102))</f>
        <v/>
      </c>
    </row>
    <row r="103">
      <c r="A103" s="9">
        <f>IF(B103="","",InvoicePrefix&amp;TEXT(StartNumber+ROW()-2,"0000"))</f>
        <v/>
      </c>
      <c r="B103" s="9" t="n"/>
      <c r="C103" s="12" t="n"/>
      <c r="D103" s="12" t="n"/>
      <c r="E103" s="9" t="n"/>
      <c r="F103" s="10" t="n"/>
      <c r="G103" s="13">
        <f>TaxRate</f>
        <v/>
      </c>
      <c r="H103" s="10">
        <f>IF(B103="","",F103*G103)</f>
        <v/>
      </c>
      <c r="I103" s="10">
        <f>IF(B103="","",F103+H103)</f>
        <v/>
      </c>
      <c r="J103" s="9" t="n"/>
      <c r="K103" s="12" t="n"/>
      <c r="L103" s="9">
        <f>IF(B103="","",IF(AND(J103&lt;&gt;"Paid",TODAY()&gt;D103),TODAY()-D103,0))</f>
        <v/>
      </c>
      <c r="M103" s="9">
        <f>IF(C103="","",MONTH(C103))</f>
        <v/>
      </c>
      <c r="N103" s="9">
        <f>IF(C103="","",YEAR(C103))</f>
        <v/>
      </c>
    </row>
    <row r="104">
      <c r="A104" s="9">
        <f>IF(B104="","",InvoicePrefix&amp;TEXT(StartNumber+ROW()-2,"0000"))</f>
        <v/>
      </c>
      <c r="B104" s="9" t="n"/>
      <c r="C104" s="12" t="n"/>
      <c r="D104" s="12" t="n"/>
      <c r="E104" s="9" t="n"/>
      <c r="F104" s="10" t="n"/>
      <c r="G104" s="13">
        <f>TaxRate</f>
        <v/>
      </c>
      <c r="H104" s="10">
        <f>IF(B104="","",F104*G104)</f>
        <v/>
      </c>
      <c r="I104" s="10">
        <f>IF(B104="","",F104+H104)</f>
        <v/>
      </c>
      <c r="J104" s="9" t="n"/>
      <c r="K104" s="12" t="n"/>
      <c r="L104" s="9">
        <f>IF(B104="","",IF(AND(J104&lt;&gt;"Paid",TODAY()&gt;D104),TODAY()-D104,0))</f>
        <v/>
      </c>
      <c r="M104" s="9">
        <f>IF(C104="","",MONTH(C104))</f>
        <v/>
      </c>
      <c r="N104" s="9">
        <f>IF(C104="","",YEAR(C104))</f>
        <v/>
      </c>
    </row>
    <row r="105">
      <c r="A105" s="9">
        <f>IF(B105="","",InvoicePrefix&amp;TEXT(StartNumber+ROW()-2,"0000"))</f>
        <v/>
      </c>
      <c r="B105" s="9" t="n"/>
      <c r="C105" s="12" t="n"/>
      <c r="D105" s="12" t="n"/>
      <c r="E105" s="9" t="n"/>
      <c r="F105" s="10" t="n"/>
      <c r="G105" s="13">
        <f>TaxRate</f>
        <v/>
      </c>
      <c r="H105" s="10">
        <f>IF(B105="","",F105*G105)</f>
        <v/>
      </c>
      <c r="I105" s="10">
        <f>IF(B105="","",F105+H105)</f>
        <v/>
      </c>
      <c r="J105" s="9" t="n"/>
      <c r="K105" s="12" t="n"/>
      <c r="L105" s="9">
        <f>IF(B105="","",IF(AND(J105&lt;&gt;"Paid",TODAY()&gt;D105),TODAY()-D105,0))</f>
        <v/>
      </c>
      <c r="M105" s="9">
        <f>IF(C105="","",MONTH(C105))</f>
        <v/>
      </c>
      <c r="N105" s="9">
        <f>IF(C105="","",YEAR(C105))</f>
        <v/>
      </c>
    </row>
    <row r="106">
      <c r="A106" s="9">
        <f>IF(B106="","",InvoicePrefix&amp;TEXT(StartNumber+ROW()-2,"0000"))</f>
        <v/>
      </c>
      <c r="B106" s="9" t="n"/>
      <c r="C106" s="12" t="n"/>
      <c r="D106" s="12" t="n"/>
      <c r="E106" s="9" t="n"/>
      <c r="F106" s="10" t="n"/>
      <c r="G106" s="13">
        <f>TaxRate</f>
        <v/>
      </c>
      <c r="H106" s="10">
        <f>IF(B106="","",F106*G106)</f>
        <v/>
      </c>
      <c r="I106" s="10">
        <f>IF(B106="","",F106+H106)</f>
        <v/>
      </c>
      <c r="J106" s="9" t="n"/>
      <c r="K106" s="12" t="n"/>
      <c r="L106" s="9">
        <f>IF(B106="","",IF(AND(J106&lt;&gt;"Paid",TODAY()&gt;D106),TODAY()-D106,0))</f>
        <v/>
      </c>
      <c r="M106" s="9">
        <f>IF(C106="","",MONTH(C106))</f>
        <v/>
      </c>
      <c r="N106" s="9">
        <f>IF(C106="","",YEAR(C106))</f>
        <v/>
      </c>
    </row>
    <row r="107">
      <c r="A107" s="9">
        <f>IF(B107="","",InvoicePrefix&amp;TEXT(StartNumber+ROW()-2,"0000"))</f>
        <v/>
      </c>
      <c r="B107" s="9" t="n"/>
      <c r="C107" s="12" t="n"/>
      <c r="D107" s="12" t="n"/>
      <c r="E107" s="9" t="n"/>
      <c r="F107" s="10" t="n"/>
      <c r="G107" s="13">
        <f>TaxRate</f>
        <v/>
      </c>
      <c r="H107" s="10">
        <f>IF(B107="","",F107*G107)</f>
        <v/>
      </c>
      <c r="I107" s="10">
        <f>IF(B107="","",F107+H107)</f>
        <v/>
      </c>
      <c r="J107" s="9" t="n"/>
      <c r="K107" s="12" t="n"/>
      <c r="L107" s="9">
        <f>IF(B107="","",IF(AND(J107&lt;&gt;"Paid",TODAY()&gt;D107),TODAY()-D107,0))</f>
        <v/>
      </c>
      <c r="M107" s="9">
        <f>IF(C107="","",MONTH(C107))</f>
        <v/>
      </c>
      <c r="N107" s="9">
        <f>IF(C107="","",YEAR(C107))</f>
        <v/>
      </c>
    </row>
    <row r="108">
      <c r="A108" s="9">
        <f>IF(B108="","",InvoicePrefix&amp;TEXT(StartNumber+ROW()-2,"0000"))</f>
        <v/>
      </c>
      <c r="B108" s="9" t="n"/>
      <c r="C108" s="12" t="n"/>
      <c r="D108" s="12" t="n"/>
      <c r="E108" s="9" t="n"/>
      <c r="F108" s="10" t="n"/>
      <c r="G108" s="13">
        <f>TaxRate</f>
        <v/>
      </c>
      <c r="H108" s="10">
        <f>IF(B108="","",F108*G108)</f>
        <v/>
      </c>
      <c r="I108" s="10">
        <f>IF(B108="","",F108+H108)</f>
        <v/>
      </c>
      <c r="J108" s="9" t="n"/>
      <c r="K108" s="12" t="n"/>
      <c r="L108" s="9">
        <f>IF(B108="","",IF(AND(J108&lt;&gt;"Paid",TODAY()&gt;D108),TODAY()-D108,0))</f>
        <v/>
      </c>
      <c r="M108" s="9">
        <f>IF(C108="","",MONTH(C108))</f>
        <v/>
      </c>
      <c r="N108" s="9">
        <f>IF(C108="","",YEAR(C108))</f>
        <v/>
      </c>
    </row>
    <row r="109">
      <c r="A109" s="9">
        <f>IF(B109="","",InvoicePrefix&amp;TEXT(StartNumber+ROW()-2,"0000"))</f>
        <v/>
      </c>
      <c r="B109" s="9" t="n"/>
      <c r="C109" s="12" t="n"/>
      <c r="D109" s="12" t="n"/>
      <c r="E109" s="9" t="n"/>
      <c r="F109" s="10" t="n"/>
      <c r="G109" s="13">
        <f>TaxRate</f>
        <v/>
      </c>
      <c r="H109" s="10">
        <f>IF(B109="","",F109*G109)</f>
        <v/>
      </c>
      <c r="I109" s="10">
        <f>IF(B109="","",F109+H109)</f>
        <v/>
      </c>
      <c r="J109" s="9" t="n"/>
      <c r="K109" s="12" t="n"/>
      <c r="L109" s="9">
        <f>IF(B109="","",IF(AND(J109&lt;&gt;"Paid",TODAY()&gt;D109),TODAY()-D109,0))</f>
        <v/>
      </c>
      <c r="M109" s="9">
        <f>IF(C109="","",MONTH(C109))</f>
        <v/>
      </c>
      <c r="N109" s="9">
        <f>IF(C109="","",YEAR(C109))</f>
        <v/>
      </c>
    </row>
    <row r="110">
      <c r="A110" s="9">
        <f>IF(B110="","",InvoicePrefix&amp;TEXT(StartNumber+ROW()-2,"0000"))</f>
        <v/>
      </c>
      <c r="B110" s="9" t="n"/>
      <c r="C110" s="12" t="n"/>
      <c r="D110" s="12" t="n"/>
      <c r="E110" s="9" t="n"/>
      <c r="F110" s="10" t="n"/>
      <c r="G110" s="13">
        <f>TaxRate</f>
        <v/>
      </c>
      <c r="H110" s="10">
        <f>IF(B110="","",F110*G110)</f>
        <v/>
      </c>
      <c r="I110" s="10">
        <f>IF(B110="","",F110+H110)</f>
        <v/>
      </c>
      <c r="J110" s="9" t="n"/>
      <c r="K110" s="12" t="n"/>
      <c r="L110" s="9">
        <f>IF(B110="","",IF(AND(J110&lt;&gt;"Paid",TODAY()&gt;D110),TODAY()-D110,0))</f>
        <v/>
      </c>
      <c r="M110" s="9">
        <f>IF(C110="","",MONTH(C110))</f>
        <v/>
      </c>
      <c r="N110" s="9">
        <f>IF(C110="","",YEAR(C110))</f>
        <v/>
      </c>
    </row>
    <row r="111">
      <c r="A111" s="9">
        <f>IF(B111="","",InvoicePrefix&amp;TEXT(StartNumber+ROW()-2,"0000"))</f>
        <v/>
      </c>
      <c r="B111" s="9" t="n"/>
      <c r="C111" s="12" t="n"/>
      <c r="D111" s="12" t="n"/>
      <c r="E111" s="9" t="n"/>
      <c r="F111" s="10" t="n"/>
      <c r="G111" s="13">
        <f>TaxRate</f>
        <v/>
      </c>
      <c r="H111" s="10">
        <f>IF(B111="","",F111*G111)</f>
        <v/>
      </c>
      <c r="I111" s="10">
        <f>IF(B111="","",F111+H111)</f>
        <v/>
      </c>
      <c r="J111" s="9" t="n"/>
      <c r="K111" s="12" t="n"/>
      <c r="L111" s="9">
        <f>IF(B111="","",IF(AND(J111&lt;&gt;"Paid",TODAY()&gt;D111),TODAY()-D111,0))</f>
        <v/>
      </c>
      <c r="M111" s="9">
        <f>IF(C111="","",MONTH(C111))</f>
        <v/>
      </c>
      <c r="N111" s="9">
        <f>IF(C111="","",YEAR(C111))</f>
        <v/>
      </c>
    </row>
    <row r="112">
      <c r="A112" s="9">
        <f>IF(B112="","",InvoicePrefix&amp;TEXT(StartNumber+ROW()-2,"0000"))</f>
        <v/>
      </c>
      <c r="B112" s="9" t="n"/>
      <c r="C112" s="12" t="n"/>
      <c r="D112" s="12" t="n"/>
      <c r="E112" s="9" t="n"/>
      <c r="F112" s="10" t="n"/>
      <c r="G112" s="13">
        <f>TaxRate</f>
        <v/>
      </c>
      <c r="H112" s="10">
        <f>IF(B112="","",F112*G112)</f>
        <v/>
      </c>
      <c r="I112" s="10">
        <f>IF(B112="","",F112+H112)</f>
        <v/>
      </c>
      <c r="J112" s="9" t="n"/>
      <c r="K112" s="12" t="n"/>
      <c r="L112" s="9">
        <f>IF(B112="","",IF(AND(J112&lt;&gt;"Paid",TODAY()&gt;D112),TODAY()-D112,0))</f>
        <v/>
      </c>
      <c r="M112" s="9">
        <f>IF(C112="","",MONTH(C112))</f>
        <v/>
      </c>
      <c r="N112" s="9">
        <f>IF(C112="","",YEAR(C112))</f>
        <v/>
      </c>
    </row>
    <row r="113">
      <c r="A113" s="9">
        <f>IF(B113="","",InvoicePrefix&amp;TEXT(StartNumber+ROW()-2,"0000"))</f>
        <v/>
      </c>
      <c r="B113" s="9" t="n"/>
      <c r="C113" s="12" t="n"/>
      <c r="D113" s="12" t="n"/>
      <c r="E113" s="9" t="n"/>
      <c r="F113" s="10" t="n"/>
      <c r="G113" s="13">
        <f>TaxRate</f>
        <v/>
      </c>
      <c r="H113" s="10">
        <f>IF(B113="","",F113*G113)</f>
        <v/>
      </c>
      <c r="I113" s="10">
        <f>IF(B113="","",F113+H113)</f>
        <v/>
      </c>
      <c r="J113" s="9" t="n"/>
      <c r="K113" s="12" t="n"/>
      <c r="L113" s="9">
        <f>IF(B113="","",IF(AND(J113&lt;&gt;"Paid",TODAY()&gt;D113),TODAY()-D113,0))</f>
        <v/>
      </c>
      <c r="M113" s="9">
        <f>IF(C113="","",MONTH(C113))</f>
        <v/>
      </c>
      <c r="N113" s="9">
        <f>IF(C113="","",YEAR(C113))</f>
        <v/>
      </c>
    </row>
    <row r="114">
      <c r="A114" s="9">
        <f>IF(B114="","",InvoicePrefix&amp;TEXT(StartNumber+ROW()-2,"0000"))</f>
        <v/>
      </c>
      <c r="B114" s="9" t="n"/>
      <c r="C114" s="12" t="n"/>
      <c r="D114" s="12" t="n"/>
      <c r="E114" s="9" t="n"/>
      <c r="F114" s="10" t="n"/>
      <c r="G114" s="13">
        <f>TaxRate</f>
        <v/>
      </c>
      <c r="H114" s="10">
        <f>IF(B114="","",F114*G114)</f>
        <v/>
      </c>
      <c r="I114" s="10">
        <f>IF(B114="","",F114+H114)</f>
        <v/>
      </c>
      <c r="J114" s="9" t="n"/>
      <c r="K114" s="12" t="n"/>
      <c r="L114" s="9">
        <f>IF(B114="","",IF(AND(J114&lt;&gt;"Paid",TODAY()&gt;D114),TODAY()-D114,0))</f>
        <v/>
      </c>
      <c r="M114" s="9">
        <f>IF(C114="","",MONTH(C114))</f>
        <v/>
      </c>
      <c r="N114" s="9">
        <f>IF(C114="","",YEAR(C114))</f>
        <v/>
      </c>
    </row>
    <row r="115">
      <c r="A115" s="9">
        <f>IF(B115="","",InvoicePrefix&amp;TEXT(StartNumber+ROW()-2,"0000"))</f>
        <v/>
      </c>
      <c r="B115" s="9" t="n"/>
      <c r="C115" s="12" t="n"/>
      <c r="D115" s="12" t="n"/>
      <c r="E115" s="9" t="n"/>
      <c r="F115" s="10" t="n"/>
      <c r="G115" s="13">
        <f>TaxRate</f>
        <v/>
      </c>
      <c r="H115" s="10">
        <f>IF(B115="","",F115*G115)</f>
        <v/>
      </c>
      <c r="I115" s="10">
        <f>IF(B115="","",F115+H115)</f>
        <v/>
      </c>
      <c r="J115" s="9" t="n"/>
      <c r="K115" s="12" t="n"/>
      <c r="L115" s="9">
        <f>IF(B115="","",IF(AND(J115&lt;&gt;"Paid",TODAY()&gt;D115),TODAY()-D115,0))</f>
        <v/>
      </c>
      <c r="M115" s="9">
        <f>IF(C115="","",MONTH(C115))</f>
        <v/>
      </c>
      <c r="N115" s="9">
        <f>IF(C115="","",YEAR(C115))</f>
        <v/>
      </c>
    </row>
    <row r="116">
      <c r="A116" s="9">
        <f>IF(B116="","",InvoicePrefix&amp;TEXT(StartNumber+ROW()-2,"0000"))</f>
        <v/>
      </c>
      <c r="B116" s="9" t="n"/>
      <c r="C116" s="12" t="n"/>
      <c r="D116" s="12" t="n"/>
      <c r="E116" s="9" t="n"/>
      <c r="F116" s="10" t="n"/>
      <c r="G116" s="13">
        <f>TaxRate</f>
        <v/>
      </c>
      <c r="H116" s="10">
        <f>IF(B116="","",F116*G116)</f>
        <v/>
      </c>
      <c r="I116" s="10">
        <f>IF(B116="","",F116+H116)</f>
        <v/>
      </c>
      <c r="J116" s="9" t="n"/>
      <c r="K116" s="12" t="n"/>
      <c r="L116" s="9">
        <f>IF(B116="","",IF(AND(J116&lt;&gt;"Paid",TODAY()&gt;D116),TODAY()-D116,0))</f>
        <v/>
      </c>
      <c r="M116" s="9">
        <f>IF(C116="","",MONTH(C116))</f>
        <v/>
      </c>
      <c r="N116" s="9">
        <f>IF(C116="","",YEAR(C116))</f>
        <v/>
      </c>
    </row>
    <row r="117">
      <c r="A117" s="9">
        <f>IF(B117="","",InvoicePrefix&amp;TEXT(StartNumber+ROW()-2,"0000"))</f>
        <v/>
      </c>
      <c r="B117" s="9" t="n"/>
      <c r="C117" s="12" t="n"/>
      <c r="D117" s="12" t="n"/>
      <c r="E117" s="9" t="n"/>
      <c r="F117" s="10" t="n"/>
      <c r="G117" s="13">
        <f>TaxRate</f>
        <v/>
      </c>
      <c r="H117" s="10">
        <f>IF(B117="","",F117*G117)</f>
        <v/>
      </c>
      <c r="I117" s="10">
        <f>IF(B117="","",F117+H117)</f>
        <v/>
      </c>
      <c r="J117" s="9" t="n"/>
      <c r="K117" s="12" t="n"/>
      <c r="L117" s="9">
        <f>IF(B117="","",IF(AND(J117&lt;&gt;"Paid",TODAY()&gt;D117),TODAY()-D117,0))</f>
        <v/>
      </c>
      <c r="M117" s="9">
        <f>IF(C117="","",MONTH(C117))</f>
        <v/>
      </c>
      <c r="N117" s="9">
        <f>IF(C117="","",YEAR(C117))</f>
        <v/>
      </c>
    </row>
    <row r="118">
      <c r="A118" s="9">
        <f>IF(B118="","",InvoicePrefix&amp;TEXT(StartNumber+ROW()-2,"0000"))</f>
        <v/>
      </c>
      <c r="B118" s="9" t="n"/>
      <c r="C118" s="12" t="n"/>
      <c r="D118" s="12" t="n"/>
      <c r="E118" s="9" t="n"/>
      <c r="F118" s="10" t="n"/>
      <c r="G118" s="13">
        <f>TaxRate</f>
        <v/>
      </c>
      <c r="H118" s="10">
        <f>IF(B118="","",F118*G118)</f>
        <v/>
      </c>
      <c r="I118" s="10">
        <f>IF(B118="","",F118+H118)</f>
        <v/>
      </c>
      <c r="J118" s="9" t="n"/>
      <c r="K118" s="12" t="n"/>
      <c r="L118" s="9">
        <f>IF(B118="","",IF(AND(J118&lt;&gt;"Paid",TODAY()&gt;D118),TODAY()-D118,0))</f>
        <v/>
      </c>
      <c r="M118" s="9">
        <f>IF(C118="","",MONTH(C118))</f>
        <v/>
      </c>
      <c r="N118" s="9">
        <f>IF(C118="","",YEAR(C118))</f>
        <v/>
      </c>
    </row>
    <row r="119">
      <c r="A119" s="9">
        <f>IF(B119="","",InvoicePrefix&amp;TEXT(StartNumber+ROW()-2,"0000"))</f>
        <v/>
      </c>
      <c r="B119" s="9" t="n"/>
      <c r="C119" s="12" t="n"/>
      <c r="D119" s="12" t="n"/>
      <c r="E119" s="9" t="n"/>
      <c r="F119" s="10" t="n"/>
      <c r="G119" s="13">
        <f>TaxRate</f>
        <v/>
      </c>
      <c r="H119" s="10">
        <f>IF(B119="","",F119*G119)</f>
        <v/>
      </c>
      <c r="I119" s="10">
        <f>IF(B119="","",F119+H119)</f>
        <v/>
      </c>
      <c r="J119" s="9" t="n"/>
      <c r="K119" s="12" t="n"/>
      <c r="L119" s="9">
        <f>IF(B119="","",IF(AND(J119&lt;&gt;"Paid",TODAY()&gt;D119),TODAY()-D119,0))</f>
        <v/>
      </c>
      <c r="M119" s="9">
        <f>IF(C119="","",MONTH(C119))</f>
        <v/>
      </c>
      <c r="N119" s="9">
        <f>IF(C119="","",YEAR(C119))</f>
        <v/>
      </c>
    </row>
    <row r="120">
      <c r="A120" s="9">
        <f>IF(B120="","",InvoicePrefix&amp;TEXT(StartNumber+ROW()-2,"0000"))</f>
        <v/>
      </c>
      <c r="B120" s="9" t="n"/>
      <c r="C120" s="12" t="n"/>
      <c r="D120" s="12" t="n"/>
      <c r="E120" s="9" t="n"/>
      <c r="F120" s="10" t="n"/>
      <c r="G120" s="13">
        <f>TaxRate</f>
        <v/>
      </c>
      <c r="H120" s="10">
        <f>IF(B120="","",F120*G120)</f>
        <v/>
      </c>
      <c r="I120" s="10">
        <f>IF(B120="","",F120+H120)</f>
        <v/>
      </c>
      <c r="J120" s="9" t="n"/>
      <c r="K120" s="12" t="n"/>
      <c r="L120" s="9">
        <f>IF(B120="","",IF(AND(J120&lt;&gt;"Paid",TODAY()&gt;D120),TODAY()-D120,0))</f>
        <v/>
      </c>
      <c r="M120" s="9">
        <f>IF(C120="","",MONTH(C120))</f>
        <v/>
      </c>
      <c r="N120" s="9">
        <f>IF(C120="","",YEAR(C120))</f>
        <v/>
      </c>
    </row>
    <row r="121">
      <c r="A121" s="9">
        <f>IF(B121="","",InvoicePrefix&amp;TEXT(StartNumber+ROW()-2,"0000"))</f>
        <v/>
      </c>
      <c r="B121" s="9" t="n"/>
      <c r="C121" s="12" t="n"/>
      <c r="D121" s="12" t="n"/>
      <c r="E121" s="9" t="n"/>
      <c r="F121" s="10" t="n"/>
      <c r="G121" s="13">
        <f>TaxRate</f>
        <v/>
      </c>
      <c r="H121" s="10">
        <f>IF(B121="","",F121*G121)</f>
        <v/>
      </c>
      <c r="I121" s="10">
        <f>IF(B121="","",F121+H121)</f>
        <v/>
      </c>
      <c r="J121" s="9" t="n"/>
      <c r="K121" s="12" t="n"/>
      <c r="L121" s="9">
        <f>IF(B121="","",IF(AND(J121&lt;&gt;"Paid",TODAY()&gt;D121),TODAY()-D121,0))</f>
        <v/>
      </c>
      <c r="M121" s="9">
        <f>IF(C121="","",MONTH(C121))</f>
        <v/>
      </c>
      <c r="N121" s="9">
        <f>IF(C121="","",YEAR(C121))</f>
        <v/>
      </c>
    </row>
    <row r="122">
      <c r="A122" s="9">
        <f>IF(B122="","",InvoicePrefix&amp;TEXT(StartNumber+ROW()-2,"0000"))</f>
        <v/>
      </c>
      <c r="B122" s="9" t="n"/>
      <c r="C122" s="12" t="n"/>
      <c r="D122" s="12" t="n"/>
      <c r="E122" s="9" t="n"/>
      <c r="F122" s="10" t="n"/>
      <c r="G122" s="13">
        <f>TaxRate</f>
        <v/>
      </c>
      <c r="H122" s="10">
        <f>IF(B122="","",F122*G122)</f>
        <v/>
      </c>
      <c r="I122" s="10">
        <f>IF(B122="","",F122+H122)</f>
        <v/>
      </c>
      <c r="J122" s="9" t="n"/>
      <c r="K122" s="12" t="n"/>
      <c r="L122" s="9">
        <f>IF(B122="","",IF(AND(J122&lt;&gt;"Paid",TODAY()&gt;D122),TODAY()-D122,0))</f>
        <v/>
      </c>
      <c r="M122" s="9">
        <f>IF(C122="","",MONTH(C122))</f>
        <v/>
      </c>
      <c r="N122" s="9">
        <f>IF(C122="","",YEAR(C122))</f>
        <v/>
      </c>
    </row>
    <row r="123">
      <c r="A123" s="9">
        <f>IF(B123="","",InvoicePrefix&amp;TEXT(StartNumber+ROW()-2,"0000"))</f>
        <v/>
      </c>
      <c r="B123" s="9" t="n"/>
      <c r="C123" s="12" t="n"/>
      <c r="D123" s="12" t="n"/>
      <c r="E123" s="9" t="n"/>
      <c r="F123" s="10" t="n"/>
      <c r="G123" s="13">
        <f>TaxRate</f>
        <v/>
      </c>
      <c r="H123" s="10">
        <f>IF(B123="","",F123*G123)</f>
        <v/>
      </c>
      <c r="I123" s="10">
        <f>IF(B123="","",F123+H123)</f>
        <v/>
      </c>
      <c r="J123" s="9" t="n"/>
      <c r="K123" s="12" t="n"/>
      <c r="L123" s="9">
        <f>IF(B123="","",IF(AND(J123&lt;&gt;"Paid",TODAY()&gt;D123),TODAY()-D123,0))</f>
        <v/>
      </c>
      <c r="M123" s="9">
        <f>IF(C123="","",MONTH(C123))</f>
        <v/>
      </c>
      <c r="N123" s="9">
        <f>IF(C123="","",YEAR(C123))</f>
        <v/>
      </c>
    </row>
    <row r="124">
      <c r="A124" s="9">
        <f>IF(B124="","",InvoicePrefix&amp;TEXT(StartNumber+ROW()-2,"0000"))</f>
        <v/>
      </c>
      <c r="B124" s="9" t="n"/>
      <c r="C124" s="12" t="n"/>
      <c r="D124" s="12" t="n"/>
      <c r="E124" s="9" t="n"/>
      <c r="F124" s="10" t="n"/>
      <c r="G124" s="13">
        <f>TaxRate</f>
        <v/>
      </c>
      <c r="H124" s="10">
        <f>IF(B124="","",F124*G124)</f>
        <v/>
      </c>
      <c r="I124" s="10">
        <f>IF(B124="","",F124+H124)</f>
        <v/>
      </c>
      <c r="J124" s="9" t="n"/>
      <c r="K124" s="12" t="n"/>
      <c r="L124" s="9">
        <f>IF(B124="","",IF(AND(J124&lt;&gt;"Paid",TODAY()&gt;D124),TODAY()-D124,0))</f>
        <v/>
      </c>
      <c r="M124" s="9">
        <f>IF(C124="","",MONTH(C124))</f>
        <v/>
      </c>
      <c r="N124" s="9">
        <f>IF(C124="","",YEAR(C124))</f>
        <v/>
      </c>
    </row>
    <row r="125">
      <c r="A125" s="9">
        <f>IF(B125="","",InvoicePrefix&amp;TEXT(StartNumber+ROW()-2,"0000"))</f>
        <v/>
      </c>
      <c r="B125" s="9" t="n"/>
      <c r="C125" s="12" t="n"/>
      <c r="D125" s="12" t="n"/>
      <c r="E125" s="9" t="n"/>
      <c r="F125" s="10" t="n"/>
      <c r="G125" s="13">
        <f>TaxRate</f>
        <v/>
      </c>
      <c r="H125" s="10">
        <f>IF(B125="","",F125*G125)</f>
        <v/>
      </c>
      <c r="I125" s="10">
        <f>IF(B125="","",F125+H125)</f>
        <v/>
      </c>
      <c r="J125" s="9" t="n"/>
      <c r="K125" s="12" t="n"/>
      <c r="L125" s="9">
        <f>IF(B125="","",IF(AND(J125&lt;&gt;"Paid",TODAY()&gt;D125),TODAY()-D125,0))</f>
        <v/>
      </c>
      <c r="M125" s="9">
        <f>IF(C125="","",MONTH(C125))</f>
        <v/>
      </c>
      <c r="N125" s="9">
        <f>IF(C125="","",YEAR(C125))</f>
        <v/>
      </c>
    </row>
    <row r="126">
      <c r="A126" s="9">
        <f>IF(B126="","",InvoicePrefix&amp;TEXT(StartNumber+ROW()-2,"0000"))</f>
        <v/>
      </c>
      <c r="B126" s="9" t="n"/>
      <c r="C126" s="12" t="n"/>
      <c r="D126" s="12" t="n"/>
      <c r="E126" s="9" t="n"/>
      <c r="F126" s="10" t="n"/>
      <c r="G126" s="13">
        <f>TaxRate</f>
        <v/>
      </c>
      <c r="H126" s="10">
        <f>IF(B126="","",F126*G126)</f>
        <v/>
      </c>
      <c r="I126" s="10">
        <f>IF(B126="","",F126+H126)</f>
        <v/>
      </c>
      <c r="J126" s="9" t="n"/>
      <c r="K126" s="12" t="n"/>
      <c r="L126" s="9">
        <f>IF(B126="","",IF(AND(J126&lt;&gt;"Paid",TODAY()&gt;D126),TODAY()-D126,0))</f>
        <v/>
      </c>
      <c r="M126" s="9">
        <f>IF(C126="","",MONTH(C126))</f>
        <v/>
      </c>
      <c r="N126" s="9">
        <f>IF(C126="","",YEAR(C126))</f>
        <v/>
      </c>
    </row>
    <row r="127">
      <c r="A127" s="9">
        <f>IF(B127="","",InvoicePrefix&amp;TEXT(StartNumber+ROW()-2,"0000"))</f>
        <v/>
      </c>
      <c r="B127" s="9" t="n"/>
      <c r="C127" s="12" t="n"/>
      <c r="D127" s="12" t="n"/>
      <c r="E127" s="9" t="n"/>
      <c r="F127" s="10" t="n"/>
      <c r="G127" s="13">
        <f>TaxRate</f>
        <v/>
      </c>
      <c r="H127" s="10">
        <f>IF(B127="","",F127*G127)</f>
        <v/>
      </c>
      <c r="I127" s="10">
        <f>IF(B127="","",F127+H127)</f>
        <v/>
      </c>
      <c r="J127" s="9" t="n"/>
      <c r="K127" s="12" t="n"/>
      <c r="L127" s="9">
        <f>IF(B127="","",IF(AND(J127&lt;&gt;"Paid",TODAY()&gt;D127),TODAY()-D127,0))</f>
        <v/>
      </c>
      <c r="M127" s="9">
        <f>IF(C127="","",MONTH(C127))</f>
        <v/>
      </c>
      <c r="N127" s="9">
        <f>IF(C127="","",YEAR(C127))</f>
        <v/>
      </c>
    </row>
    <row r="128">
      <c r="A128" s="9">
        <f>IF(B128="","",InvoicePrefix&amp;TEXT(StartNumber+ROW()-2,"0000"))</f>
        <v/>
      </c>
      <c r="B128" s="9" t="n"/>
      <c r="C128" s="12" t="n"/>
      <c r="D128" s="12" t="n"/>
      <c r="E128" s="9" t="n"/>
      <c r="F128" s="10" t="n"/>
      <c r="G128" s="13">
        <f>TaxRate</f>
        <v/>
      </c>
      <c r="H128" s="10">
        <f>IF(B128="","",F128*G128)</f>
        <v/>
      </c>
      <c r="I128" s="10">
        <f>IF(B128="","",F128+H128)</f>
        <v/>
      </c>
      <c r="J128" s="9" t="n"/>
      <c r="K128" s="12" t="n"/>
      <c r="L128" s="9">
        <f>IF(B128="","",IF(AND(J128&lt;&gt;"Paid",TODAY()&gt;D128),TODAY()-D128,0))</f>
        <v/>
      </c>
      <c r="M128" s="9">
        <f>IF(C128="","",MONTH(C128))</f>
        <v/>
      </c>
      <c r="N128" s="9">
        <f>IF(C128="","",YEAR(C128))</f>
        <v/>
      </c>
    </row>
    <row r="129">
      <c r="A129" s="9">
        <f>IF(B129="","",InvoicePrefix&amp;TEXT(StartNumber+ROW()-2,"0000"))</f>
        <v/>
      </c>
      <c r="B129" s="9" t="n"/>
      <c r="C129" s="12" t="n"/>
      <c r="D129" s="12" t="n"/>
      <c r="E129" s="9" t="n"/>
      <c r="F129" s="10" t="n"/>
      <c r="G129" s="13">
        <f>TaxRate</f>
        <v/>
      </c>
      <c r="H129" s="10">
        <f>IF(B129="","",F129*G129)</f>
        <v/>
      </c>
      <c r="I129" s="10">
        <f>IF(B129="","",F129+H129)</f>
        <v/>
      </c>
      <c r="J129" s="9" t="n"/>
      <c r="K129" s="12" t="n"/>
      <c r="L129" s="9">
        <f>IF(B129="","",IF(AND(J129&lt;&gt;"Paid",TODAY()&gt;D129),TODAY()-D129,0))</f>
        <v/>
      </c>
      <c r="M129" s="9">
        <f>IF(C129="","",MONTH(C129))</f>
        <v/>
      </c>
      <c r="N129" s="9">
        <f>IF(C129="","",YEAR(C129))</f>
        <v/>
      </c>
    </row>
    <row r="130">
      <c r="A130" s="9">
        <f>IF(B130="","",InvoicePrefix&amp;TEXT(StartNumber+ROW()-2,"0000"))</f>
        <v/>
      </c>
      <c r="B130" s="9" t="n"/>
      <c r="C130" s="12" t="n"/>
      <c r="D130" s="12" t="n"/>
      <c r="E130" s="9" t="n"/>
      <c r="F130" s="10" t="n"/>
      <c r="G130" s="13">
        <f>TaxRate</f>
        <v/>
      </c>
      <c r="H130" s="10">
        <f>IF(B130="","",F130*G130)</f>
        <v/>
      </c>
      <c r="I130" s="10">
        <f>IF(B130="","",F130+H130)</f>
        <v/>
      </c>
      <c r="J130" s="9" t="n"/>
      <c r="K130" s="12" t="n"/>
      <c r="L130" s="9">
        <f>IF(B130="","",IF(AND(J130&lt;&gt;"Paid",TODAY()&gt;D130),TODAY()-D130,0))</f>
        <v/>
      </c>
      <c r="M130" s="9">
        <f>IF(C130="","",MONTH(C130))</f>
        <v/>
      </c>
      <c r="N130" s="9">
        <f>IF(C130="","",YEAR(C130))</f>
        <v/>
      </c>
    </row>
    <row r="131">
      <c r="A131" s="9">
        <f>IF(B131="","",InvoicePrefix&amp;TEXT(StartNumber+ROW()-2,"0000"))</f>
        <v/>
      </c>
      <c r="B131" s="9" t="n"/>
      <c r="C131" s="12" t="n"/>
      <c r="D131" s="12" t="n"/>
      <c r="E131" s="9" t="n"/>
      <c r="F131" s="10" t="n"/>
      <c r="G131" s="13">
        <f>TaxRate</f>
        <v/>
      </c>
      <c r="H131" s="10">
        <f>IF(B131="","",F131*G131)</f>
        <v/>
      </c>
      <c r="I131" s="10">
        <f>IF(B131="","",F131+H131)</f>
        <v/>
      </c>
      <c r="J131" s="9" t="n"/>
      <c r="K131" s="12" t="n"/>
      <c r="L131" s="9">
        <f>IF(B131="","",IF(AND(J131&lt;&gt;"Paid",TODAY()&gt;D131),TODAY()-D131,0))</f>
        <v/>
      </c>
      <c r="M131" s="9">
        <f>IF(C131="","",MONTH(C131))</f>
        <v/>
      </c>
      <c r="N131" s="9">
        <f>IF(C131="","",YEAR(C131))</f>
        <v/>
      </c>
    </row>
    <row r="132">
      <c r="A132" s="9">
        <f>IF(B132="","",InvoicePrefix&amp;TEXT(StartNumber+ROW()-2,"0000"))</f>
        <v/>
      </c>
      <c r="B132" s="9" t="n"/>
      <c r="C132" s="12" t="n"/>
      <c r="D132" s="12" t="n"/>
      <c r="E132" s="9" t="n"/>
      <c r="F132" s="10" t="n"/>
      <c r="G132" s="13">
        <f>TaxRate</f>
        <v/>
      </c>
      <c r="H132" s="10">
        <f>IF(B132="","",F132*G132)</f>
        <v/>
      </c>
      <c r="I132" s="10">
        <f>IF(B132="","",F132+H132)</f>
        <v/>
      </c>
      <c r="J132" s="9" t="n"/>
      <c r="K132" s="12" t="n"/>
      <c r="L132" s="9">
        <f>IF(B132="","",IF(AND(J132&lt;&gt;"Paid",TODAY()&gt;D132),TODAY()-D132,0))</f>
        <v/>
      </c>
      <c r="M132" s="9">
        <f>IF(C132="","",MONTH(C132))</f>
        <v/>
      </c>
      <c r="N132" s="9">
        <f>IF(C132="","",YEAR(C132))</f>
        <v/>
      </c>
    </row>
    <row r="133">
      <c r="A133" s="9">
        <f>IF(B133="","",InvoicePrefix&amp;TEXT(StartNumber+ROW()-2,"0000"))</f>
        <v/>
      </c>
      <c r="B133" s="9" t="n"/>
      <c r="C133" s="12" t="n"/>
      <c r="D133" s="12" t="n"/>
      <c r="E133" s="9" t="n"/>
      <c r="F133" s="10" t="n"/>
      <c r="G133" s="13">
        <f>TaxRate</f>
        <v/>
      </c>
      <c r="H133" s="10">
        <f>IF(B133="","",F133*G133)</f>
        <v/>
      </c>
      <c r="I133" s="10">
        <f>IF(B133="","",F133+H133)</f>
        <v/>
      </c>
      <c r="J133" s="9" t="n"/>
      <c r="K133" s="12" t="n"/>
      <c r="L133" s="9">
        <f>IF(B133="","",IF(AND(J133&lt;&gt;"Paid",TODAY()&gt;D133),TODAY()-D133,0))</f>
        <v/>
      </c>
      <c r="M133" s="9">
        <f>IF(C133="","",MONTH(C133))</f>
        <v/>
      </c>
      <c r="N133" s="9">
        <f>IF(C133="","",YEAR(C133))</f>
        <v/>
      </c>
    </row>
    <row r="134">
      <c r="A134" s="9">
        <f>IF(B134="","",InvoicePrefix&amp;TEXT(StartNumber+ROW()-2,"0000"))</f>
        <v/>
      </c>
      <c r="B134" s="9" t="n"/>
      <c r="C134" s="12" t="n"/>
      <c r="D134" s="12" t="n"/>
      <c r="E134" s="9" t="n"/>
      <c r="F134" s="10" t="n"/>
      <c r="G134" s="13">
        <f>TaxRate</f>
        <v/>
      </c>
      <c r="H134" s="10">
        <f>IF(B134="","",F134*G134)</f>
        <v/>
      </c>
      <c r="I134" s="10">
        <f>IF(B134="","",F134+H134)</f>
        <v/>
      </c>
      <c r="J134" s="9" t="n"/>
      <c r="K134" s="12" t="n"/>
      <c r="L134" s="9">
        <f>IF(B134="","",IF(AND(J134&lt;&gt;"Paid",TODAY()&gt;D134),TODAY()-D134,0))</f>
        <v/>
      </c>
      <c r="M134" s="9">
        <f>IF(C134="","",MONTH(C134))</f>
        <v/>
      </c>
      <c r="N134" s="9">
        <f>IF(C134="","",YEAR(C134))</f>
        <v/>
      </c>
    </row>
    <row r="135">
      <c r="A135" s="9">
        <f>IF(B135="","",InvoicePrefix&amp;TEXT(StartNumber+ROW()-2,"0000"))</f>
        <v/>
      </c>
      <c r="B135" s="9" t="n"/>
      <c r="C135" s="12" t="n"/>
      <c r="D135" s="12" t="n"/>
      <c r="E135" s="9" t="n"/>
      <c r="F135" s="10" t="n"/>
      <c r="G135" s="13">
        <f>TaxRate</f>
        <v/>
      </c>
      <c r="H135" s="10">
        <f>IF(B135="","",F135*G135)</f>
        <v/>
      </c>
      <c r="I135" s="10">
        <f>IF(B135="","",F135+H135)</f>
        <v/>
      </c>
      <c r="J135" s="9" t="n"/>
      <c r="K135" s="12" t="n"/>
      <c r="L135" s="9">
        <f>IF(B135="","",IF(AND(J135&lt;&gt;"Paid",TODAY()&gt;D135),TODAY()-D135,0))</f>
        <v/>
      </c>
      <c r="M135" s="9">
        <f>IF(C135="","",MONTH(C135))</f>
        <v/>
      </c>
      <c r="N135" s="9">
        <f>IF(C135="","",YEAR(C135))</f>
        <v/>
      </c>
    </row>
    <row r="136">
      <c r="A136" s="9">
        <f>IF(B136="","",InvoicePrefix&amp;TEXT(StartNumber+ROW()-2,"0000"))</f>
        <v/>
      </c>
      <c r="B136" s="9" t="n"/>
      <c r="C136" s="12" t="n"/>
      <c r="D136" s="12" t="n"/>
      <c r="E136" s="9" t="n"/>
      <c r="F136" s="10" t="n"/>
      <c r="G136" s="13">
        <f>TaxRate</f>
        <v/>
      </c>
      <c r="H136" s="10">
        <f>IF(B136="","",F136*G136)</f>
        <v/>
      </c>
      <c r="I136" s="10">
        <f>IF(B136="","",F136+H136)</f>
        <v/>
      </c>
      <c r="J136" s="9" t="n"/>
      <c r="K136" s="12" t="n"/>
      <c r="L136" s="9">
        <f>IF(B136="","",IF(AND(J136&lt;&gt;"Paid",TODAY()&gt;D136),TODAY()-D136,0))</f>
        <v/>
      </c>
      <c r="M136" s="9">
        <f>IF(C136="","",MONTH(C136))</f>
        <v/>
      </c>
      <c r="N136" s="9">
        <f>IF(C136="","",YEAR(C136))</f>
        <v/>
      </c>
    </row>
    <row r="137">
      <c r="A137" s="9">
        <f>IF(B137="","",InvoicePrefix&amp;TEXT(StartNumber+ROW()-2,"0000"))</f>
        <v/>
      </c>
      <c r="B137" s="9" t="n"/>
      <c r="C137" s="12" t="n"/>
      <c r="D137" s="12" t="n"/>
      <c r="E137" s="9" t="n"/>
      <c r="F137" s="10" t="n"/>
      <c r="G137" s="13">
        <f>TaxRate</f>
        <v/>
      </c>
      <c r="H137" s="10">
        <f>IF(B137="","",F137*G137)</f>
        <v/>
      </c>
      <c r="I137" s="10">
        <f>IF(B137="","",F137+H137)</f>
        <v/>
      </c>
      <c r="J137" s="9" t="n"/>
      <c r="K137" s="12" t="n"/>
      <c r="L137" s="9">
        <f>IF(B137="","",IF(AND(J137&lt;&gt;"Paid",TODAY()&gt;D137),TODAY()-D137,0))</f>
        <v/>
      </c>
      <c r="M137" s="9">
        <f>IF(C137="","",MONTH(C137))</f>
        <v/>
      </c>
      <c r="N137" s="9">
        <f>IF(C137="","",YEAR(C137))</f>
        <v/>
      </c>
    </row>
    <row r="138">
      <c r="A138" s="9">
        <f>IF(B138="","",InvoicePrefix&amp;TEXT(StartNumber+ROW()-2,"0000"))</f>
        <v/>
      </c>
      <c r="B138" s="9" t="n"/>
      <c r="C138" s="12" t="n"/>
      <c r="D138" s="12" t="n"/>
      <c r="E138" s="9" t="n"/>
      <c r="F138" s="10" t="n"/>
      <c r="G138" s="13">
        <f>TaxRate</f>
        <v/>
      </c>
      <c r="H138" s="10">
        <f>IF(B138="","",F138*G138)</f>
        <v/>
      </c>
      <c r="I138" s="10">
        <f>IF(B138="","",F138+H138)</f>
        <v/>
      </c>
      <c r="J138" s="9" t="n"/>
      <c r="K138" s="12" t="n"/>
      <c r="L138" s="9">
        <f>IF(B138="","",IF(AND(J138&lt;&gt;"Paid",TODAY()&gt;D138),TODAY()-D138,0))</f>
        <v/>
      </c>
      <c r="M138" s="9">
        <f>IF(C138="","",MONTH(C138))</f>
        <v/>
      </c>
      <c r="N138" s="9">
        <f>IF(C138="","",YEAR(C138))</f>
        <v/>
      </c>
    </row>
    <row r="139">
      <c r="A139" s="9">
        <f>IF(B139="","",InvoicePrefix&amp;TEXT(StartNumber+ROW()-2,"0000"))</f>
        <v/>
      </c>
      <c r="B139" s="9" t="n"/>
      <c r="C139" s="12" t="n"/>
      <c r="D139" s="12" t="n"/>
      <c r="E139" s="9" t="n"/>
      <c r="F139" s="10" t="n"/>
      <c r="G139" s="13">
        <f>TaxRate</f>
        <v/>
      </c>
      <c r="H139" s="10">
        <f>IF(B139="","",F139*G139)</f>
        <v/>
      </c>
      <c r="I139" s="10">
        <f>IF(B139="","",F139+H139)</f>
        <v/>
      </c>
      <c r="J139" s="9" t="n"/>
      <c r="K139" s="12" t="n"/>
      <c r="L139" s="9">
        <f>IF(B139="","",IF(AND(J139&lt;&gt;"Paid",TODAY()&gt;D139),TODAY()-D139,0))</f>
        <v/>
      </c>
      <c r="M139" s="9">
        <f>IF(C139="","",MONTH(C139))</f>
        <v/>
      </c>
      <c r="N139" s="9">
        <f>IF(C139="","",YEAR(C139))</f>
        <v/>
      </c>
    </row>
    <row r="140">
      <c r="A140" s="9">
        <f>IF(B140="","",InvoicePrefix&amp;TEXT(StartNumber+ROW()-2,"0000"))</f>
        <v/>
      </c>
      <c r="B140" s="9" t="n"/>
      <c r="C140" s="12" t="n"/>
      <c r="D140" s="12" t="n"/>
      <c r="E140" s="9" t="n"/>
      <c r="F140" s="10" t="n"/>
      <c r="G140" s="13">
        <f>TaxRate</f>
        <v/>
      </c>
      <c r="H140" s="10">
        <f>IF(B140="","",F140*G140)</f>
        <v/>
      </c>
      <c r="I140" s="10">
        <f>IF(B140="","",F140+H140)</f>
        <v/>
      </c>
      <c r="J140" s="9" t="n"/>
      <c r="K140" s="12" t="n"/>
      <c r="L140" s="9">
        <f>IF(B140="","",IF(AND(J140&lt;&gt;"Paid",TODAY()&gt;D140),TODAY()-D140,0))</f>
        <v/>
      </c>
      <c r="M140" s="9">
        <f>IF(C140="","",MONTH(C140))</f>
        <v/>
      </c>
      <c r="N140" s="9">
        <f>IF(C140="","",YEAR(C140))</f>
        <v/>
      </c>
    </row>
    <row r="141">
      <c r="A141" s="9">
        <f>IF(B141="","",InvoicePrefix&amp;TEXT(StartNumber+ROW()-2,"0000"))</f>
        <v/>
      </c>
      <c r="B141" s="9" t="n"/>
      <c r="C141" s="12" t="n"/>
      <c r="D141" s="12" t="n"/>
      <c r="E141" s="9" t="n"/>
      <c r="F141" s="10" t="n"/>
      <c r="G141" s="13">
        <f>TaxRate</f>
        <v/>
      </c>
      <c r="H141" s="10">
        <f>IF(B141="","",F141*G141)</f>
        <v/>
      </c>
      <c r="I141" s="10">
        <f>IF(B141="","",F141+H141)</f>
        <v/>
      </c>
      <c r="J141" s="9" t="n"/>
      <c r="K141" s="12" t="n"/>
      <c r="L141" s="9">
        <f>IF(B141="","",IF(AND(J141&lt;&gt;"Paid",TODAY()&gt;D141),TODAY()-D141,0))</f>
        <v/>
      </c>
      <c r="M141" s="9">
        <f>IF(C141="","",MONTH(C141))</f>
        <v/>
      </c>
      <c r="N141" s="9">
        <f>IF(C141="","",YEAR(C141))</f>
        <v/>
      </c>
    </row>
    <row r="142">
      <c r="A142" s="9">
        <f>IF(B142="","",InvoicePrefix&amp;TEXT(StartNumber+ROW()-2,"0000"))</f>
        <v/>
      </c>
      <c r="B142" s="9" t="n"/>
      <c r="C142" s="12" t="n"/>
      <c r="D142" s="12" t="n"/>
      <c r="E142" s="9" t="n"/>
      <c r="F142" s="10" t="n"/>
      <c r="G142" s="13">
        <f>TaxRate</f>
        <v/>
      </c>
      <c r="H142" s="10">
        <f>IF(B142="","",F142*G142)</f>
        <v/>
      </c>
      <c r="I142" s="10">
        <f>IF(B142="","",F142+H142)</f>
        <v/>
      </c>
      <c r="J142" s="9" t="n"/>
      <c r="K142" s="12" t="n"/>
      <c r="L142" s="9">
        <f>IF(B142="","",IF(AND(J142&lt;&gt;"Paid",TODAY()&gt;D142),TODAY()-D142,0))</f>
        <v/>
      </c>
      <c r="M142" s="9">
        <f>IF(C142="","",MONTH(C142))</f>
        <v/>
      </c>
      <c r="N142" s="9">
        <f>IF(C142="","",YEAR(C142))</f>
        <v/>
      </c>
    </row>
    <row r="143">
      <c r="A143" s="9">
        <f>IF(B143="","",InvoicePrefix&amp;TEXT(StartNumber+ROW()-2,"0000"))</f>
        <v/>
      </c>
      <c r="B143" s="9" t="n"/>
      <c r="C143" s="12" t="n"/>
      <c r="D143" s="12" t="n"/>
      <c r="E143" s="9" t="n"/>
      <c r="F143" s="10" t="n"/>
      <c r="G143" s="13">
        <f>TaxRate</f>
        <v/>
      </c>
      <c r="H143" s="10">
        <f>IF(B143="","",F143*G143)</f>
        <v/>
      </c>
      <c r="I143" s="10">
        <f>IF(B143="","",F143+H143)</f>
        <v/>
      </c>
      <c r="J143" s="9" t="n"/>
      <c r="K143" s="12" t="n"/>
      <c r="L143" s="9">
        <f>IF(B143="","",IF(AND(J143&lt;&gt;"Paid",TODAY()&gt;D143),TODAY()-D143,0))</f>
        <v/>
      </c>
      <c r="M143" s="9">
        <f>IF(C143="","",MONTH(C143))</f>
        <v/>
      </c>
      <c r="N143" s="9">
        <f>IF(C143="","",YEAR(C143))</f>
        <v/>
      </c>
    </row>
    <row r="144">
      <c r="A144" s="9">
        <f>IF(B144="","",InvoicePrefix&amp;TEXT(StartNumber+ROW()-2,"0000"))</f>
        <v/>
      </c>
      <c r="B144" s="9" t="n"/>
      <c r="C144" s="12" t="n"/>
      <c r="D144" s="12" t="n"/>
      <c r="E144" s="9" t="n"/>
      <c r="F144" s="10" t="n"/>
      <c r="G144" s="13">
        <f>TaxRate</f>
        <v/>
      </c>
      <c r="H144" s="10">
        <f>IF(B144="","",F144*G144)</f>
        <v/>
      </c>
      <c r="I144" s="10">
        <f>IF(B144="","",F144+H144)</f>
        <v/>
      </c>
      <c r="J144" s="9" t="n"/>
      <c r="K144" s="12" t="n"/>
      <c r="L144" s="9">
        <f>IF(B144="","",IF(AND(J144&lt;&gt;"Paid",TODAY()&gt;D144),TODAY()-D144,0))</f>
        <v/>
      </c>
      <c r="M144" s="9">
        <f>IF(C144="","",MONTH(C144))</f>
        <v/>
      </c>
      <c r="N144" s="9">
        <f>IF(C144="","",YEAR(C144))</f>
        <v/>
      </c>
    </row>
    <row r="145">
      <c r="A145" s="9">
        <f>IF(B145="","",InvoicePrefix&amp;TEXT(StartNumber+ROW()-2,"0000"))</f>
        <v/>
      </c>
      <c r="B145" s="9" t="n"/>
      <c r="C145" s="12" t="n"/>
      <c r="D145" s="12" t="n"/>
      <c r="E145" s="9" t="n"/>
      <c r="F145" s="10" t="n"/>
      <c r="G145" s="13">
        <f>TaxRate</f>
        <v/>
      </c>
      <c r="H145" s="10">
        <f>IF(B145="","",F145*G145)</f>
        <v/>
      </c>
      <c r="I145" s="10">
        <f>IF(B145="","",F145+H145)</f>
        <v/>
      </c>
      <c r="J145" s="9" t="n"/>
      <c r="K145" s="12" t="n"/>
      <c r="L145" s="9">
        <f>IF(B145="","",IF(AND(J145&lt;&gt;"Paid",TODAY()&gt;D145),TODAY()-D145,0))</f>
        <v/>
      </c>
      <c r="M145" s="9">
        <f>IF(C145="","",MONTH(C145))</f>
        <v/>
      </c>
      <c r="N145" s="9">
        <f>IF(C145="","",YEAR(C145))</f>
        <v/>
      </c>
    </row>
    <row r="146">
      <c r="A146" s="9">
        <f>IF(B146="","",InvoicePrefix&amp;TEXT(StartNumber+ROW()-2,"0000"))</f>
        <v/>
      </c>
      <c r="B146" s="9" t="n"/>
      <c r="C146" s="12" t="n"/>
      <c r="D146" s="12" t="n"/>
      <c r="E146" s="9" t="n"/>
      <c r="F146" s="10" t="n"/>
      <c r="G146" s="13">
        <f>TaxRate</f>
        <v/>
      </c>
      <c r="H146" s="10">
        <f>IF(B146="","",F146*G146)</f>
        <v/>
      </c>
      <c r="I146" s="10">
        <f>IF(B146="","",F146+H146)</f>
        <v/>
      </c>
      <c r="J146" s="9" t="n"/>
      <c r="K146" s="12" t="n"/>
      <c r="L146" s="9">
        <f>IF(B146="","",IF(AND(J146&lt;&gt;"Paid",TODAY()&gt;D146),TODAY()-D146,0))</f>
        <v/>
      </c>
      <c r="M146" s="9">
        <f>IF(C146="","",MONTH(C146))</f>
        <v/>
      </c>
      <c r="N146" s="9">
        <f>IF(C146="","",YEAR(C146))</f>
        <v/>
      </c>
    </row>
    <row r="147">
      <c r="A147" s="9">
        <f>IF(B147="","",InvoicePrefix&amp;TEXT(StartNumber+ROW()-2,"0000"))</f>
        <v/>
      </c>
      <c r="B147" s="9" t="n"/>
      <c r="C147" s="12" t="n"/>
      <c r="D147" s="12" t="n"/>
      <c r="E147" s="9" t="n"/>
      <c r="F147" s="10" t="n"/>
      <c r="G147" s="13">
        <f>TaxRate</f>
        <v/>
      </c>
      <c r="H147" s="10">
        <f>IF(B147="","",F147*G147)</f>
        <v/>
      </c>
      <c r="I147" s="10">
        <f>IF(B147="","",F147+H147)</f>
        <v/>
      </c>
      <c r="J147" s="9" t="n"/>
      <c r="K147" s="12" t="n"/>
      <c r="L147" s="9">
        <f>IF(B147="","",IF(AND(J147&lt;&gt;"Paid",TODAY()&gt;D147),TODAY()-D147,0))</f>
        <v/>
      </c>
      <c r="M147" s="9">
        <f>IF(C147="","",MONTH(C147))</f>
        <v/>
      </c>
      <c r="N147" s="9">
        <f>IF(C147="","",YEAR(C147))</f>
        <v/>
      </c>
    </row>
    <row r="148">
      <c r="A148" s="9">
        <f>IF(B148="","",InvoicePrefix&amp;TEXT(StartNumber+ROW()-2,"0000"))</f>
        <v/>
      </c>
      <c r="B148" s="9" t="n"/>
      <c r="C148" s="12" t="n"/>
      <c r="D148" s="12" t="n"/>
      <c r="E148" s="9" t="n"/>
      <c r="F148" s="10" t="n"/>
      <c r="G148" s="13">
        <f>TaxRate</f>
        <v/>
      </c>
      <c r="H148" s="10">
        <f>IF(B148="","",F148*G148)</f>
        <v/>
      </c>
      <c r="I148" s="10">
        <f>IF(B148="","",F148+H148)</f>
        <v/>
      </c>
      <c r="J148" s="9" t="n"/>
      <c r="K148" s="12" t="n"/>
      <c r="L148" s="9">
        <f>IF(B148="","",IF(AND(J148&lt;&gt;"Paid",TODAY()&gt;D148),TODAY()-D148,0))</f>
        <v/>
      </c>
      <c r="M148" s="9">
        <f>IF(C148="","",MONTH(C148))</f>
        <v/>
      </c>
      <c r="N148" s="9">
        <f>IF(C148="","",YEAR(C148))</f>
        <v/>
      </c>
    </row>
    <row r="149">
      <c r="A149" s="9">
        <f>IF(B149="","",InvoicePrefix&amp;TEXT(StartNumber+ROW()-2,"0000"))</f>
        <v/>
      </c>
      <c r="B149" s="9" t="n"/>
      <c r="C149" s="12" t="n"/>
      <c r="D149" s="12" t="n"/>
      <c r="E149" s="9" t="n"/>
      <c r="F149" s="10" t="n"/>
      <c r="G149" s="13">
        <f>TaxRate</f>
        <v/>
      </c>
      <c r="H149" s="10">
        <f>IF(B149="","",F149*G149)</f>
        <v/>
      </c>
      <c r="I149" s="10">
        <f>IF(B149="","",F149+H149)</f>
        <v/>
      </c>
      <c r="J149" s="9" t="n"/>
      <c r="K149" s="12" t="n"/>
      <c r="L149" s="9">
        <f>IF(B149="","",IF(AND(J149&lt;&gt;"Paid",TODAY()&gt;D149),TODAY()-D149,0))</f>
        <v/>
      </c>
      <c r="M149" s="9">
        <f>IF(C149="","",MONTH(C149))</f>
        <v/>
      </c>
      <c r="N149" s="9">
        <f>IF(C149="","",YEAR(C149))</f>
        <v/>
      </c>
    </row>
    <row r="150">
      <c r="A150" s="9">
        <f>IF(B150="","",InvoicePrefix&amp;TEXT(StartNumber+ROW()-2,"0000"))</f>
        <v/>
      </c>
      <c r="B150" s="9" t="n"/>
      <c r="C150" s="12" t="n"/>
      <c r="D150" s="12" t="n"/>
      <c r="E150" s="9" t="n"/>
      <c r="F150" s="10" t="n"/>
      <c r="G150" s="13">
        <f>TaxRate</f>
        <v/>
      </c>
      <c r="H150" s="10">
        <f>IF(B150="","",F150*G150)</f>
        <v/>
      </c>
      <c r="I150" s="10">
        <f>IF(B150="","",F150+H150)</f>
        <v/>
      </c>
      <c r="J150" s="9" t="n"/>
      <c r="K150" s="12" t="n"/>
      <c r="L150" s="9">
        <f>IF(B150="","",IF(AND(J150&lt;&gt;"Paid",TODAY()&gt;D150),TODAY()-D150,0))</f>
        <v/>
      </c>
      <c r="M150" s="9">
        <f>IF(C150="","",MONTH(C150))</f>
        <v/>
      </c>
      <c r="N150" s="9">
        <f>IF(C150="","",YEAR(C150))</f>
        <v/>
      </c>
    </row>
    <row r="151">
      <c r="A151" s="9">
        <f>IF(B151="","",InvoicePrefix&amp;TEXT(StartNumber+ROW()-2,"0000"))</f>
        <v/>
      </c>
      <c r="B151" s="9" t="n"/>
      <c r="C151" s="12" t="n"/>
      <c r="D151" s="12" t="n"/>
      <c r="E151" s="9" t="n"/>
      <c r="F151" s="10" t="n"/>
      <c r="G151" s="13">
        <f>TaxRate</f>
        <v/>
      </c>
      <c r="H151" s="10">
        <f>IF(B151="","",F151*G151)</f>
        <v/>
      </c>
      <c r="I151" s="10">
        <f>IF(B151="","",F151+H151)</f>
        <v/>
      </c>
      <c r="J151" s="9" t="n"/>
      <c r="K151" s="12" t="n"/>
      <c r="L151" s="9">
        <f>IF(B151="","",IF(AND(J151&lt;&gt;"Paid",TODAY()&gt;D151),TODAY()-D151,0))</f>
        <v/>
      </c>
      <c r="M151" s="9">
        <f>IF(C151="","",MONTH(C151))</f>
        <v/>
      </c>
      <c r="N151" s="9">
        <f>IF(C151="","",YEAR(C151))</f>
        <v/>
      </c>
    </row>
    <row r="152">
      <c r="A152" s="9">
        <f>IF(B152="","",InvoicePrefix&amp;TEXT(StartNumber+ROW()-2,"0000"))</f>
        <v/>
      </c>
      <c r="B152" s="9" t="n"/>
      <c r="C152" s="12" t="n"/>
      <c r="D152" s="12" t="n"/>
      <c r="E152" s="9" t="n"/>
      <c r="F152" s="10" t="n"/>
      <c r="G152" s="13">
        <f>TaxRate</f>
        <v/>
      </c>
      <c r="H152" s="10">
        <f>IF(B152="","",F152*G152)</f>
        <v/>
      </c>
      <c r="I152" s="10">
        <f>IF(B152="","",F152+H152)</f>
        <v/>
      </c>
      <c r="J152" s="9" t="n"/>
      <c r="K152" s="12" t="n"/>
      <c r="L152" s="9">
        <f>IF(B152="","",IF(AND(J152&lt;&gt;"Paid",TODAY()&gt;D152),TODAY()-D152,0))</f>
        <v/>
      </c>
      <c r="M152" s="9">
        <f>IF(C152="","",MONTH(C152))</f>
        <v/>
      </c>
      <c r="N152" s="9">
        <f>IF(C152="","",YEAR(C152))</f>
        <v/>
      </c>
    </row>
    <row r="153">
      <c r="A153" s="9">
        <f>IF(B153="","",InvoicePrefix&amp;TEXT(StartNumber+ROW()-2,"0000"))</f>
        <v/>
      </c>
      <c r="B153" s="9" t="n"/>
      <c r="C153" s="12" t="n"/>
      <c r="D153" s="12" t="n"/>
      <c r="E153" s="9" t="n"/>
      <c r="F153" s="10" t="n"/>
      <c r="G153" s="13">
        <f>TaxRate</f>
        <v/>
      </c>
      <c r="H153" s="10">
        <f>IF(B153="","",F153*G153)</f>
        <v/>
      </c>
      <c r="I153" s="10">
        <f>IF(B153="","",F153+H153)</f>
        <v/>
      </c>
      <c r="J153" s="9" t="n"/>
      <c r="K153" s="12" t="n"/>
      <c r="L153" s="9">
        <f>IF(B153="","",IF(AND(J153&lt;&gt;"Paid",TODAY()&gt;D153),TODAY()-D153,0))</f>
        <v/>
      </c>
      <c r="M153" s="9">
        <f>IF(C153="","",MONTH(C153))</f>
        <v/>
      </c>
      <c r="N153" s="9">
        <f>IF(C153="","",YEAR(C153))</f>
        <v/>
      </c>
    </row>
    <row r="154">
      <c r="A154" s="9">
        <f>IF(B154="","",InvoicePrefix&amp;TEXT(StartNumber+ROW()-2,"0000"))</f>
        <v/>
      </c>
      <c r="B154" s="9" t="n"/>
      <c r="C154" s="12" t="n"/>
      <c r="D154" s="12" t="n"/>
      <c r="E154" s="9" t="n"/>
      <c r="F154" s="10" t="n"/>
      <c r="G154" s="13">
        <f>TaxRate</f>
        <v/>
      </c>
      <c r="H154" s="10">
        <f>IF(B154="","",F154*G154)</f>
        <v/>
      </c>
      <c r="I154" s="10">
        <f>IF(B154="","",F154+H154)</f>
        <v/>
      </c>
      <c r="J154" s="9" t="n"/>
      <c r="K154" s="12" t="n"/>
      <c r="L154" s="9">
        <f>IF(B154="","",IF(AND(J154&lt;&gt;"Paid",TODAY()&gt;D154),TODAY()-D154,0))</f>
        <v/>
      </c>
      <c r="M154" s="9">
        <f>IF(C154="","",MONTH(C154))</f>
        <v/>
      </c>
      <c r="N154" s="9">
        <f>IF(C154="","",YEAR(C154))</f>
        <v/>
      </c>
    </row>
    <row r="155">
      <c r="A155" s="9">
        <f>IF(B155="","",InvoicePrefix&amp;TEXT(StartNumber+ROW()-2,"0000"))</f>
        <v/>
      </c>
      <c r="B155" s="9" t="n"/>
      <c r="C155" s="12" t="n"/>
      <c r="D155" s="12" t="n"/>
      <c r="E155" s="9" t="n"/>
      <c r="F155" s="10" t="n"/>
      <c r="G155" s="13">
        <f>TaxRate</f>
        <v/>
      </c>
      <c r="H155" s="10">
        <f>IF(B155="","",F155*G155)</f>
        <v/>
      </c>
      <c r="I155" s="10">
        <f>IF(B155="","",F155+H155)</f>
        <v/>
      </c>
      <c r="J155" s="9" t="n"/>
      <c r="K155" s="12" t="n"/>
      <c r="L155" s="9">
        <f>IF(B155="","",IF(AND(J155&lt;&gt;"Paid",TODAY()&gt;D155),TODAY()-D155,0))</f>
        <v/>
      </c>
      <c r="M155" s="9">
        <f>IF(C155="","",MONTH(C155))</f>
        <v/>
      </c>
      <c r="N155" s="9">
        <f>IF(C155="","",YEAR(C155))</f>
        <v/>
      </c>
    </row>
    <row r="156">
      <c r="A156" s="9">
        <f>IF(B156="","",InvoicePrefix&amp;TEXT(StartNumber+ROW()-2,"0000"))</f>
        <v/>
      </c>
      <c r="B156" s="9" t="n"/>
      <c r="C156" s="12" t="n"/>
      <c r="D156" s="12" t="n"/>
      <c r="E156" s="9" t="n"/>
      <c r="F156" s="10" t="n"/>
      <c r="G156" s="13">
        <f>TaxRate</f>
        <v/>
      </c>
      <c r="H156" s="10">
        <f>IF(B156="","",F156*G156)</f>
        <v/>
      </c>
      <c r="I156" s="10">
        <f>IF(B156="","",F156+H156)</f>
        <v/>
      </c>
      <c r="J156" s="9" t="n"/>
      <c r="K156" s="12" t="n"/>
      <c r="L156" s="9">
        <f>IF(B156="","",IF(AND(J156&lt;&gt;"Paid",TODAY()&gt;D156),TODAY()-D156,0))</f>
        <v/>
      </c>
      <c r="M156" s="9">
        <f>IF(C156="","",MONTH(C156))</f>
        <v/>
      </c>
      <c r="N156" s="9">
        <f>IF(C156="","",YEAR(C156))</f>
        <v/>
      </c>
    </row>
    <row r="157">
      <c r="A157" s="9">
        <f>IF(B157="","",InvoicePrefix&amp;TEXT(StartNumber+ROW()-2,"0000"))</f>
        <v/>
      </c>
      <c r="B157" s="9" t="n"/>
      <c r="C157" s="12" t="n"/>
      <c r="D157" s="12" t="n"/>
      <c r="E157" s="9" t="n"/>
      <c r="F157" s="10" t="n"/>
      <c r="G157" s="13">
        <f>TaxRate</f>
        <v/>
      </c>
      <c r="H157" s="10">
        <f>IF(B157="","",F157*G157)</f>
        <v/>
      </c>
      <c r="I157" s="10">
        <f>IF(B157="","",F157+H157)</f>
        <v/>
      </c>
      <c r="J157" s="9" t="n"/>
      <c r="K157" s="12" t="n"/>
      <c r="L157" s="9">
        <f>IF(B157="","",IF(AND(J157&lt;&gt;"Paid",TODAY()&gt;D157),TODAY()-D157,0))</f>
        <v/>
      </c>
      <c r="M157" s="9">
        <f>IF(C157="","",MONTH(C157))</f>
        <v/>
      </c>
      <c r="N157" s="9">
        <f>IF(C157="","",YEAR(C157))</f>
        <v/>
      </c>
    </row>
    <row r="158">
      <c r="A158" s="9">
        <f>IF(B158="","",InvoicePrefix&amp;TEXT(StartNumber+ROW()-2,"0000"))</f>
        <v/>
      </c>
      <c r="B158" s="9" t="n"/>
      <c r="C158" s="12" t="n"/>
      <c r="D158" s="12" t="n"/>
      <c r="E158" s="9" t="n"/>
      <c r="F158" s="10" t="n"/>
      <c r="G158" s="13">
        <f>TaxRate</f>
        <v/>
      </c>
      <c r="H158" s="10">
        <f>IF(B158="","",F158*G158)</f>
        <v/>
      </c>
      <c r="I158" s="10">
        <f>IF(B158="","",F158+H158)</f>
        <v/>
      </c>
      <c r="J158" s="9" t="n"/>
      <c r="K158" s="12" t="n"/>
      <c r="L158" s="9">
        <f>IF(B158="","",IF(AND(J158&lt;&gt;"Paid",TODAY()&gt;D158),TODAY()-D158,0))</f>
        <v/>
      </c>
      <c r="M158" s="9">
        <f>IF(C158="","",MONTH(C158))</f>
        <v/>
      </c>
      <c r="N158" s="9">
        <f>IF(C158="","",YEAR(C158))</f>
        <v/>
      </c>
    </row>
    <row r="159">
      <c r="A159" s="9">
        <f>IF(B159="","",InvoicePrefix&amp;TEXT(StartNumber+ROW()-2,"0000"))</f>
        <v/>
      </c>
      <c r="B159" s="9" t="n"/>
      <c r="C159" s="12" t="n"/>
      <c r="D159" s="12" t="n"/>
      <c r="E159" s="9" t="n"/>
      <c r="F159" s="10" t="n"/>
      <c r="G159" s="13">
        <f>TaxRate</f>
        <v/>
      </c>
      <c r="H159" s="10">
        <f>IF(B159="","",F159*G159)</f>
        <v/>
      </c>
      <c r="I159" s="10">
        <f>IF(B159="","",F159+H159)</f>
        <v/>
      </c>
      <c r="J159" s="9" t="n"/>
      <c r="K159" s="12" t="n"/>
      <c r="L159" s="9">
        <f>IF(B159="","",IF(AND(J159&lt;&gt;"Paid",TODAY()&gt;D159),TODAY()-D159,0))</f>
        <v/>
      </c>
      <c r="M159" s="9">
        <f>IF(C159="","",MONTH(C159))</f>
        <v/>
      </c>
      <c r="N159" s="9">
        <f>IF(C159="","",YEAR(C159))</f>
        <v/>
      </c>
    </row>
    <row r="160">
      <c r="A160" s="9">
        <f>IF(B160="","",InvoicePrefix&amp;TEXT(StartNumber+ROW()-2,"0000"))</f>
        <v/>
      </c>
      <c r="B160" s="9" t="n"/>
      <c r="C160" s="12" t="n"/>
      <c r="D160" s="12" t="n"/>
      <c r="E160" s="9" t="n"/>
      <c r="F160" s="10" t="n"/>
      <c r="G160" s="13">
        <f>TaxRate</f>
        <v/>
      </c>
      <c r="H160" s="10">
        <f>IF(B160="","",F160*G160)</f>
        <v/>
      </c>
      <c r="I160" s="10">
        <f>IF(B160="","",F160+H160)</f>
        <v/>
      </c>
      <c r="J160" s="9" t="n"/>
      <c r="K160" s="12" t="n"/>
      <c r="L160" s="9">
        <f>IF(B160="","",IF(AND(J160&lt;&gt;"Paid",TODAY()&gt;D160),TODAY()-D160,0))</f>
        <v/>
      </c>
      <c r="M160" s="9">
        <f>IF(C160="","",MONTH(C160))</f>
        <v/>
      </c>
      <c r="N160" s="9">
        <f>IF(C160="","",YEAR(C160))</f>
        <v/>
      </c>
    </row>
    <row r="161">
      <c r="A161" s="9">
        <f>IF(B161="","",InvoicePrefix&amp;TEXT(StartNumber+ROW()-2,"0000"))</f>
        <v/>
      </c>
      <c r="B161" s="9" t="n"/>
      <c r="C161" s="12" t="n"/>
      <c r="D161" s="12" t="n"/>
      <c r="E161" s="9" t="n"/>
      <c r="F161" s="10" t="n"/>
      <c r="G161" s="13">
        <f>TaxRate</f>
        <v/>
      </c>
      <c r="H161" s="10">
        <f>IF(B161="","",F161*G161)</f>
        <v/>
      </c>
      <c r="I161" s="10">
        <f>IF(B161="","",F161+H161)</f>
        <v/>
      </c>
      <c r="J161" s="9" t="n"/>
      <c r="K161" s="12" t="n"/>
      <c r="L161" s="9">
        <f>IF(B161="","",IF(AND(J161&lt;&gt;"Paid",TODAY()&gt;D161),TODAY()-D161,0))</f>
        <v/>
      </c>
      <c r="M161" s="9">
        <f>IF(C161="","",MONTH(C161))</f>
        <v/>
      </c>
      <c r="N161" s="9">
        <f>IF(C161="","",YEAR(C161))</f>
        <v/>
      </c>
    </row>
    <row r="162">
      <c r="A162" s="9">
        <f>IF(B162="","",InvoicePrefix&amp;TEXT(StartNumber+ROW()-2,"0000"))</f>
        <v/>
      </c>
      <c r="B162" s="9" t="n"/>
      <c r="C162" s="12" t="n"/>
      <c r="D162" s="12" t="n"/>
      <c r="E162" s="9" t="n"/>
      <c r="F162" s="10" t="n"/>
      <c r="G162" s="13">
        <f>TaxRate</f>
        <v/>
      </c>
      <c r="H162" s="10">
        <f>IF(B162="","",F162*G162)</f>
        <v/>
      </c>
      <c r="I162" s="10">
        <f>IF(B162="","",F162+H162)</f>
        <v/>
      </c>
      <c r="J162" s="9" t="n"/>
      <c r="K162" s="12" t="n"/>
      <c r="L162" s="9">
        <f>IF(B162="","",IF(AND(J162&lt;&gt;"Paid",TODAY()&gt;D162),TODAY()-D162,0))</f>
        <v/>
      </c>
      <c r="M162" s="9">
        <f>IF(C162="","",MONTH(C162))</f>
        <v/>
      </c>
      <c r="N162" s="9">
        <f>IF(C162="","",YEAR(C162))</f>
        <v/>
      </c>
    </row>
    <row r="163">
      <c r="A163" s="9">
        <f>IF(B163="","",InvoicePrefix&amp;TEXT(StartNumber+ROW()-2,"0000"))</f>
        <v/>
      </c>
      <c r="B163" s="9" t="n"/>
      <c r="C163" s="12" t="n"/>
      <c r="D163" s="12" t="n"/>
      <c r="E163" s="9" t="n"/>
      <c r="F163" s="10" t="n"/>
      <c r="G163" s="13">
        <f>TaxRate</f>
        <v/>
      </c>
      <c r="H163" s="10">
        <f>IF(B163="","",F163*G163)</f>
        <v/>
      </c>
      <c r="I163" s="10">
        <f>IF(B163="","",F163+H163)</f>
        <v/>
      </c>
      <c r="J163" s="9" t="n"/>
      <c r="K163" s="12" t="n"/>
      <c r="L163" s="9">
        <f>IF(B163="","",IF(AND(J163&lt;&gt;"Paid",TODAY()&gt;D163),TODAY()-D163,0))</f>
        <v/>
      </c>
      <c r="M163" s="9">
        <f>IF(C163="","",MONTH(C163))</f>
        <v/>
      </c>
      <c r="N163" s="9">
        <f>IF(C163="","",YEAR(C163))</f>
        <v/>
      </c>
    </row>
    <row r="164">
      <c r="A164" s="9">
        <f>IF(B164="","",InvoicePrefix&amp;TEXT(StartNumber+ROW()-2,"0000"))</f>
        <v/>
      </c>
      <c r="B164" s="9" t="n"/>
      <c r="C164" s="12" t="n"/>
      <c r="D164" s="12" t="n"/>
      <c r="E164" s="9" t="n"/>
      <c r="F164" s="10" t="n"/>
      <c r="G164" s="13">
        <f>TaxRate</f>
        <v/>
      </c>
      <c r="H164" s="10">
        <f>IF(B164="","",F164*G164)</f>
        <v/>
      </c>
      <c r="I164" s="10">
        <f>IF(B164="","",F164+H164)</f>
        <v/>
      </c>
      <c r="J164" s="9" t="n"/>
      <c r="K164" s="12" t="n"/>
      <c r="L164" s="9">
        <f>IF(B164="","",IF(AND(J164&lt;&gt;"Paid",TODAY()&gt;D164),TODAY()-D164,0))</f>
        <v/>
      </c>
      <c r="M164" s="9">
        <f>IF(C164="","",MONTH(C164))</f>
        <v/>
      </c>
      <c r="N164" s="9">
        <f>IF(C164="","",YEAR(C164))</f>
        <v/>
      </c>
    </row>
    <row r="165">
      <c r="A165" s="9">
        <f>IF(B165="","",InvoicePrefix&amp;TEXT(StartNumber+ROW()-2,"0000"))</f>
        <v/>
      </c>
      <c r="B165" s="9" t="n"/>
      <c r="C165" s="12" t="n"/>
      <c r="D165" s="12" t="n"/>
      <c r="E165" s="9" t="n"/>
      <c r="F165" s="10" t="n"/>
      <c r="G165" s="13">
        <f>TaxRate</f>
        <v/>
      </c>
      <c r="H165" s="10">
        <f>IF(B165="","",F165*G165)</f>
        <v/>
      </c>
      <c r="I165" s="10">
        <f>IF(B165="","",F165+H165)</f>
        <v/>
      </c>
      <c r="J165" s="9" t="n"/>
      <c r="K165" s="12" t="n"/>
      <c r="L165" s="9">
        <f>IF(B165="","",IF(AND(J165&lt;&gt;"Paid",TODAY()&gt;D165),TODAY()-D165,0))</f>
        <v/>
      </c>
      <c r="M165" s="9">
        <f>IF(C165="","",MONTH(C165))</f>
        <v/>
      </c>
      <c r="N165" s="9">
        <f>IF(C165="","",YEAR(C165))</f>
        <v/>
      </c>
    </row>
    <row r="166">
      <c r="A166" s="9">
        <f>IF(B166="","",InvoicePrefix&amp;TEXT(StartNumber+ROW()-2,"0000"))</f>
        <v/>
      </c>
      <c r="B166" s="9" t="n"/>
      <c r="C166" s="12" t="n"/>
      <c r="D166" s="12" t="n"/>
      <c r="E166" s="9" t="n"/>
      <c r="F166" s="10" t="n"/>
      <c r="G166" s="13">
        <f>TaxRate</f>
        <v/>
      </c>
      <c r="H166" s="10">
        <f>IF(B166="","",F166*G166)</f>
        <v/>
      </c>
      <c r="I166" s="10">
        <f>IF(B166="","",F166+H166)</f>
        <v/>
      </c>
      <c r="J166" s="9" t="n"/>
      <c r="K166" s="12" t="n"/>
      <c r="L166" s="9">
        <f>IF(B166="","",IF(AND(J166&lt;&gt;"Paid",TODAY()&gt;D166),TODAY()-D166,0))</f>
        <v/>
      </c>
      <c r="M166" s="9">
        <f>IF(C166="","",MONTH(C166))</f>
        <v/>
      </c>
      <c r="N166" s="9">
        <f>IF(C166="","",YEAR(C166))</f>
        <v/>
      </c>
    </row>
    <row r="167">
      <c r="A167" s="9">
        <f>IF(B167="","",InvoicePrefix&amp;TEXT(StartNumber+ROW()-2,"0000"))</f>
        <v/>
      </c>
      <c r="B167" s="9" t="n"/>
      <c r="C167" s="12" t="n"/>
      <c r="D167" s="12" t="n"/>
      <c r="E167" s="9" t="n"/>
      <c r="F167" s="10" t="n"/>
      <c r="G167" s="13">
        <f>TaxRate</f>
        <v/>
      </c>
      <c r="H167" s="10">
        <f>IF(B167="","",F167*G167)</f>
        <v/>
      </c>
      <c r="I167" s="10">
        <f>IF(B167="","",F167+H167)</f>
        <v/>
      </c>
      <c r="J167" s="9" t="n"/>
      <c r="K167" s="12" t="n"/>
      <c r="L167" s="9">
        <f>IF(B167="","",IF(AND(J167&lt;&gt;"Paid",TODAY()&gt;D167),TODAY()-D167,0))</f>
        <v/>
      </c>
      <c r="M167" s="9">
        <f>IF(C167="","",MONTH(C167))</f>
        <v/>
      </c>
      <c r="N167" s="9">
        <f>IF(C167="","",YEAR(C167))</f>
        <v/>
      </c>
    </row>
    <row r="168">
      <c r="A168" s="9">
        <f>IF(B168="","",InvoicePrefix&amp;TEXT(StartNumber+ROW()-2,"0000"))</f>
        <v/>
      </c>
      <c r="B168" s="9" t="n"/>
      <c r="C168" s="12" t="n"/>
      <c r="D168" s="12" t="n"/>
      <c r="E168" s="9" t="n"/>
      <c r="F168" s="10" t="n"/>
      <c r="G168" s="13">
        <f>TaxRate</f>
        <v/>
      </c>
      <c r="H168" s="10">
        <f>IF(B168="","",F168*G168)</f>
        <v/>
      </c>
      <c r="I168" s="10">
        <f>IF(B168="","",F168+H168)</f>
        <v/>
      </c>
      <c r="J168" s="9" t="n"/>
      <c r="K168" s="12" t="n"/>
      <c r="L168" s="9">
        <f>IF(B168="","",IF(AND(J168&lt;&gt;"Paid",TODAY()&gt;D168),TODAY()-D168,0))</f>
        <v/>
      </c>
      <c r="M168" s="9">
        <f>IF(C168="","",MONTH(C168))</f>
        <v/>
      </c>
      <c r="N168" s="9">
        <f>IF(C168="","",YEAR(C168))</f>
        <v/>
      </c>
    </row>
    <row r="169">
      <c r="A169" s="9">
        <f>IF(B169="","",InvoicePrefix&amp;TEXT(StartNumber+ROW()-2,"0000"))</f>
        <v/>
      </c>
      <c r="B169" s="9" t="n"/>
      <c r="C169" s="12" t="n"/>
      <c r="D169" s="12" t="n"/>
      <c r="E169" s="9" t="n"/>
      <c r="F169" s="10" t="n"/>
      <c r="G169" s="13">
        <f>TaxRate</f>
        <v/>
      </c>
      <c r="H169" s="10">
        <f>IF(B169="","",F169*G169)</f>
        <v/>
      </c>
      <c r="I169" s="10">
        <f>IF(B169="","",F169+H169)</f>
        <v/>
      </c>
      <c r="J169" s="9" t="n"/>
      <c r="K169" s="12" t="n"/>
      <c r="L169" s="9">
        <f>IF(B169="","",IF(AND(J169&lt;&gt;"Paid",TODAY()&gt;D169),TODAY()-D169,0))</f>
        <v/>
      </c>
      <c r="M169" s="9">
        <f>IF(C169="","",MONTH(C169))</f>
        <v/>
      </c>
      <c r="N169" s="9">
        <f>IF(C169="","",YEAR(C169))</f>
        <v/>
      </c>
    </row>
    <row r="170">
      <c r="A170" s="9">
        <f>IF(B170="","",InvoicePrefix&amp;TEXT(StartNumber+ROW()-2,"0000"))</f>
        <v/>
      </c>
      <c r="B170" s="9" t="n"/>
      <c r="C170" s="12" t="n"/>
      <c r="D170" s="12" t="n"/>
      <c r="E170" s="9" t="n"/>
      <c r="F170" s="10" t="n"/>
      <c r="G170" s="13">
        <f>TaxRate</f>
        <v/>
      </c>
      <c r="H170" s="10">
        <f>IF(B170="","",F170*G170)</f>
        <v/>
      </c>
      <c r="I170" s="10">
        <f>IF(B170="","",F170+H170)</f>
        <v/>
      </c>
      <c r="J170" s="9" t="n"/>
      <c r="K170" s="12" t="n"/>
      <c r="L170" s="9">
        <f>IF(B170="","",IF(AND(J170&lt;&gt;"Paid",TODAY()&gt;D170),TODAY()-D170,0))</f>
        <v/>
      </c>
      <c r="M170" s="9">
        <f>IF(C170="","",MONTH(C170))</f>
        <v/>
      </c>
      <c r="N170" s="9">
        <f>IF(C170="","",YEAR(C170))</f>
        <v/>
      </c>
    </row>
    <row r="171">
      <c r="A171" s="9">
        <f>IF(B171="","",InvoicePrefix&amp;TEXT(StartNumber+ROW()-2,"0000"))</f>
        <v/>
      </c>
      <c r="B171" s="9" t="n"/>
      <c r="C171" s="12" t="n"/>
      <c r="D171" s="12" t="n"/>
      <c r="E171" s="9" t="n"/>
      <c r="F171" s="10" t="n"/>
      <c r="G171" s="13">
        <f>TaxRate</f>
        <v/>
      </c>
      <c r="H171" s="10">
        <f>IF(B171="","",F171*G171)</f>
        <v/>
      </c>
      <c r="I171" s="10">
        <f>IF(B171="","",F171+H171)</f>
        <v/>
      </c>
      <c r="J171" s="9" t="n"/>
      <c r="K171" s="12" t="n"/>
      <c r="L171" s="9">
        <f>IF(B171="","",IF(AND(J171&lt;&gt;"Paid",TODAY()&gt;D171),TODAY()-D171,0))</f>
        <v/>
      </c>
      <c r="M171" s="9">
        <f>IF(C171="","",MONTH(C171))</f>
        <v/>
      </c>
      <c r="N171" s="9">
        <f>IF(C171="","",YEAR(C171))</f>
        <v/>
      </c>
    </row>
    <row r="172">
      <c r="A172" s="9">
        <f>IF(B172="","",InvoicePrefix&amp;TEXT(StartNumber+ROW()-2,"0000"))</f>
        <v/>
      </c>
      <c r="B172" s="9" t="n"/>
      <c r="C172" s="12" t="n"/>
      <c r="D172" s="12" t="n"/>
      <c r="E172" s="9" t="n"/>
      <c r="F172" s="10" t="n"/>
      <c r="G172" s="13">
        <f>TaxRate</f>
        <v/>
      </c>
      <c r="H172" s="10">
        <f>IF(B172="","",F172*G172)</f>
        <v/>
      </c>
      <c r="I172" s="10">
        <f>IF(B172="","",F172+H172)</f>
        <v/>
      </c>
      <c r="J172" s="9" t="n"/>
      <c r="K172" s="12" t="n"/>
      <c r="L172" s="9">
        <f>IF(B172="","",IF(AND(J172&lt;&gt;"Paid",TODAY()&gt;D172),TODAY()-D172,0))</f>
        <v/>
      </c>
      <c r="M172" s="9">
        <f>IF(C172="","",MONTH(C172))</f>
        <v/>
      </c>
      <c r="N172" s="9">
        <f>IF(C172="","",YEAR(C172))</f>
        <v/>
      </c>
    </row>
    <row r="173">
      <c r="A173" s="9">
        <f>IF(B173="","",InvoicePrefix&amp;TEXT(StartNumber+ROW()-2,"0000"))</f>
        <v/>
      </c>
      <c r="B173" s="9" t="n"/>
      <c r="C173" s="12" t="n"/>
      <c r="D173" s="12" t="n"/>
      <c r="E173" s="9" t="n"/>
      <c r="F173" s="10" t="n"/>
      <c r="G173" s="13">
        <f>TaxRate</f>
        <v/>
      </c>
      <c r="H173" s="10">
        <f>IF(B173="","",F173*G173)</f>
        <v/>
      </c>
      <c r="I173" s="10">
        <f>IF(B173="","",F173+H173)</f>
        <v/>
      </c>
      <c r="J173" s="9" t="n"/>
      <c r="K173" s="12" t="n"/>
      <c r="L173" s="9">
        <f>IF(B173="","",IF(AND(J173&lt;&gt;"Paid",TODAY()&gt;D173),TODAY()-D173,0))</f>
        <v/>
      </c>
      <c r="M173" s="9">
        <f>IF(C173="","",MONTH(C173))</f>
        <v/>
      </c>
      <c r="N173" s="9">
        <f>IF(C173="","",YEAR(C173))</f>
        <v/>
      </c>
    </row>
    <row r="174">
      <c r="A174" s="9">
        <f>IF(B174="","",InvoicePrefix&amp;TEXT(StartNumber+ROW()-2,"0000"))</f>
        <v/>
      </c>
      <c r="B174" s="9" t="n"/>
      <c r="C174" s="12" t="n"/>
      <c r="D174" s="12" t="n"/>
      <c r="E174" s="9" t="n"/>
      <c r="F174" s="10" t="n"/>
      <c r="G174" s="13">
        <f>TaxRate</f>
        <v/>
      </c>
      <c r="H174" s="10">
        <f>IF(B174="","",F174*G174)</f>
        <v/>
      </c>
      <c r="I174" s="10">
        <f>IF(B174="","",F174+H174)</f>
        <v/>
      </c>
      <c r="J174" s="9" t="n"/>
      <c r="K174" s="12" t="n"/>
      <c r="L174" s="9">
        <f>IF(B174="","",IF(AND(J174&lt;&gt;"Paid",TODAY()&gt;D174),TODAY()-D174,0))</f>
        <v/>
      </c>
      <c r="M174" s="9">
        <f>IF(C174="","",MONTH(C174))</f>
        <v/>
      </c>
      <c r="N174" s="9">
        <f>IF(C174="","",YEAR(C174))</f>
        <v/>
      </c>
    </row>
    <row r="175">
      <c r="A175" s="9">
        <f>IF(B175="","",InvoicePrefix&amp;TEXT(StartNumber+ROW()-2,"0000"))</f>
        <v/>
      </c>
      <c r="B175" s="9" t="n"/>
      <c r="C175" s="12" t="n"/>
      <c r="D175" s="12" t="n"/>
      <c r="E175" s="9" t="n"/>
      <c r="F175" s="10" t="n"/>
      <c r="G175" s="13">
        <f>TaxRate</f>
        <v/>
      </c>
      <c r="H175" s="10">
        <f>IF(B175="","",F175*G175)</f>
        <v/>
      </c>
      <c r="I175" s="10">
        <f>IF(B175="","",F175+H175)</f>
        <v/>
      </c>
      <c r="J175" s="9" t="n"/>
      <c r="K175" s="12" t="n"/>
      <c r="L175" s="9">
        <f>IF(B175="","",IF(AND(J175&lt;&gt;"Paid",TODAY()&gt;D175),TODAY()-D175,0))</f>
        <v/>
      </c>
      <c r="M175" s="9">
        <f>IF(C175="","",MONTH(C175))</f>
        <v/>
      </c>
      <c r="N175" s="9">
        <f>IF(C175="","",YEAR(C175))</f>
        <v/>
      </c>
    </row>
    <row r="176">
      <c r="A176" s="9">
        <f>IF(B176="","",InvoicePrefix&amp;TEXT(StartNumber+ROW()-2,"0000"))</f>
        <v/>
      </c>
      <c r="B176" s="9" t="n"/>
      <c r="C176" s="12" t="n"/>
      <c r="D176" s="12" t="n"/>
      <c r="E176" s="9" t="n"/>
      <c r="F176" s="10" t="n"/>
      <c r="G176" s="13">
        <f>TaxRate</f>
        <v/>
      </c>
      <c r="H176" s="10">
        <f>IF(B176="","",F176*G176)</f>
        <v/>
      </c>
      <c r="I176" s="10">
        <f>IF(B176="","",F176+H176)</f>
        <v/>
      </c>
      <c r="J176" s="9" t="n"/>
      <c r="K176" s="12" t="n"/>
      <c r="L176" s="9">
        <f>IF(B176="","",IF(AND(J176&lt;&gt;"Paid",TODAY()&gt;D176),TODAY()-D176,0))</f>
        <v/>
      </c>
      <c r="M176" s="9">
        <f>IF(C176="","",MONTH(C176))</f>
        <v/>
      </c>
      <c r="N176" s="9">
        <f>IF(C176="","",YEAR(C176))</f>
        <v/>
      </c>
    </row>
    <row r="177">
      <c r="A177" s="9">
        <f>IF(B177="","",InvoicePrefix&amp;TEXT(StartNumber+ROW()-2,"0000"))</f>
        <v/>
      </c>
      <c r="B177" s="9" t="n"/>
      <c r="C177" s="12" t="n"/>
      <c r="D177" s="12" t="n"/>
      <c r="E177" s="9" t="n"/>
      <c r="F177" s="10" t="n"/>
      <c r="G177" s="13">
        <f>TaxRate</f>
        <v/>
      </c>
      <c r="H177" s="10">
        <f>IF(B177="","",F177*G177)</f>
        <v/>
      </c>
      <c r="I177" s="10">
        <f>IF(B177="","",F177+H177)</f>
        <v/>
      </c>
      <c r="J177" s="9" t="n"/>
      <c r="K177" s="12" t="n"/>
      <c r="L177" s="9">
        <f>IF(B177="","",IF(AND(J177&lt;&gt;"Paid",TODAY()&gt;D177),TODAY()-D177,0))</f>
        <v/>
      </c>
      <c r="M177" s="9">
        <f>IF(C177="","",MONTH(C177))</f>
        <v/>
      </c>
      <c r="N177" s="9">
        <f>IF(C177="","",YEAR(C177))</f>
        <v/>
      </c>
    </row>
    <row r="178">
      <c r="A178" s="9">
        <f>IF(B178="","",InvoicePrefix&amp;TEXT(StartNumber+ROW()-2,"0000"))</f>
        <v/>
      </c>
      <c r="B178" s="9" t="n"/>
      <c r="C178" s="12" t="n"/>
      <c r="D178" s="12" t="n"/>
      <c r="E178" s="9" t="n"/>
      <c r="F178" s="10" t="n"/>
      <c r="G178" s="13">
        <f>TaxRate</f>
        <v/>
      </c>
      <c r="H178" s="10">
        <f>IF(B178="","",F178*G178)</f>
        <v/>
      </c>
      <c r="I178" s="10">
        <f>IF(B178="","",F178+H178)</f>
        <v/>
      </c>
      <c r="J178" s="9" t="n"/>
      <c r="K178" s="12" t="n"/>
      <c r="L178" s="9">
        <f>IF(B178="","",IF(AND(J178&lt;&gt;"Paid",TODAY()&gt;D178),TODAY()-D178,0))</f>
        <v/>
      </c>
      <c r="M178" s="9">
        <f>IF(C178="","",MONTH(C178))</f>
        <v/>
      </c>
      <c r="N178" s="9">
        <f>IF(C178="","",YEAR(C178))</f>
        <v/>
      </c>
    </row>
    <row r="179">
      <c r="A179" s="9">
        <f>IF(B179="","",InvoicePrefix&amp;TEXT(StartNumber+ROW()-2,"0000"))</f>
        <v/>
      </c>
      <c r="B179" s="9" t="n"/>
      <c r="C179" s="12" t="n"/>
      <c r="D179" s="12" t="n"/>
      <c r="E179" s="9" t="n"/>
      <c r="F179" s="10" t="n"/>
      <c r="G179" s="13">
        <f>TaxRate</f>
        <v/>
      </c>
      <c r="H179" s="10">
        <f>IF(B179="","",F179*G179)</f>
        <v/>
      </c>
      <c r="I179" s="10">
        <f>IF(B179="","",F179+H179)</f>
        <v/>
      </c>
      <c r="J179" s="9" t="n"/>
      <c r="K179" s="12" t="n"/>
      <c r="L179" s="9">
        <f>IF(B179="","",IF(AND(J179&lt;&gt;"Paid",TODAY()&gt;D179),TODAY()-D179,0))</f>
        <v/>
      </c>
      <c r="M179" s="9">
        <f>IF(C179="","",MONTH(C179))</f>
        <v/>
      </c>
      <c r="N179" s="9">
        <f>IF(C179="","",YEAR(C179))</f>
        <v/>
      </c>
    </row>
    <row r="180">
      <c r="A180" s="9">
        <f>IF(B180="","",InvoicePrefix&amp;TEXT(StartNumber+ROW()-2,"0000"))</f>
        <v/>
      </c>
      <c r="B180" s="9" t="n"/>
      <c r="C180" s="12" t="n"/>
      <c r="D180" s="12" t="n"/>
      <c r="E180" s="9" t="n"/>
      <c r="F180" s="10" t="n"/>
      <c r="G180" s="13">
        <f>TaxRate</f>
        <v/>
      </c>
      <c r="H180" s="10">
        <f>IF(B180="","",F180*G180)</f>
        <v/>
      </c>
      <c r="I180" s="10">
        <f>IF(B180="","",F180+H180)</f>
        <v/>
      </c>
      <c r="J180" s="9" t="n"/>
      <c r="K180" s="12" t="n"/>
      <c r="L180" s="9">
        <f>IF(B180="","",IF(AND(J180&lt;&gt;"Paid",TODAY()&gt;D180),TODAY()-D180,0))</f>
        <v/>
      </c>
      <c r="M180" s="9">
        <f>IF(C180="","",MONTH(C180))</f>
        <v/>
      </c>
      <c r="N180" s="9">
        <f>IF(C180="","",YEAR(C180))</f>
        <v/>
      </c>
    </row>
    <row r="181">
      <c r="A181" s="9">
        <f>IF(B181="","",InvoicePrefix&amp;TEXT(StartNumber+ROW()-2,"0000"))</f>
        <v/>
      </c>
      <c r="B181" s="9" t="n"/>
      <c r="C181" s="12" t="n"/>
      <c r="D181" s="12" t="n"/>
      <c r="E181" s="9" t="n"/>
      <c r="F181" s="10" t="n"/>
      <c r="G181" s="13">
        <f>TaxRate</f>
        <v/>
      </c>
      <c r="H181" s="10">
        <f>IF(B181="","",F181*G181)</f>
        <v/>
      </c>
      <c r="I181" s="10">
        <f>IF(B181="","",F181+H181)</f>
        <v/>
      </c>
      <c r="J181" s="9" t="n"/>
      <c r="K181" s="12" t="n"/>
      <c r="L181" s="9">
        <f>IF(B181="","",IF(AND(J181&lt;&gt;"Paid",TODAY()&gt;D181),TODAY()-D181,0))</f>
        <v/>
      </c>
      <c r="M181" s="9">
        <f>IF(C181="","",MONTH(C181))</f>
        <v/>
      </c>
      <c r="N181" s="9">
        <f>IF(C181="","",YEAR(C181))</f>
        <v/>
      </c>
    </row>
    <row r="182">
      <c r="A182" s="9">
        <f>IF(B182="","",InvoicePrefix&amp;TEXT(StartNumber+ROW()-2,"0000"))</f>
        <v/>
      </c>
      <c r="B182" s="9" t="n"/>
      <c r="C182" s="12" t="n"/>
      <c r="D182" s="12" t="n"/>
      <c r="E182" s="9" t="n"/>
      <c r="F182" s="10" t="n"/>
      <c r="G182" s="13">
        <f>TaxRate</f>
        <v/>
      </c>
      <c r="H182" s="10">
        <f>IF(B182="","",F182*G182)</f>
        <v/>
      </c>
      <c r="I182" s="10">
        <f>IF(B182="","",F182+H182)</f>
        <v/>
      </c>
      <c r="J182" s="9" t="n"/>
      <c r="K182" s="12" t="n"/>
      <c r="L182" s="9">
        <f>IF(B182="","",IF(AND(J182&lt;&gt;"Paid",TODAY()&gt;D182),TODAY()-D182,0))</f>
        <v/>
      </c>
      <c r="M182" s="9">
        <f>IF(C182="","",MONTH(C182))</f>
        <v/>
      </c>
      <c r="N182" s="9">
        <f>IF(C182="","",YEAR(C182))</f>
        <v/>
      </c>
    </row>
    <row r="183">
      <c r="A183" s="9">
        <f>IF(B183="","",InvoicePrefix&amp;TEXT(StartNumber+ROW()-2,"0000"))</f>
        <v/>
      </c>
      <c r="B183" s="9" t="n"/>
      <c r="C183" s="12" t="n"/>
      <c r="D183" s="12" t="n"/>
      <c r="E183" s="9" t="n"/>
      <c r="F183" s="10" t="n"/>
      <c r="G183" s="13">
        <f>TaxRate</f>
        <v/>
      </c>
      <c r="H183" s="10">
        <f>IF(B183="","",F183*G183)</f>
        <v/>
      </c>
      <c r="I183" s="10">
        <f>IF(B183="","",F183+H183)</f>
        <v/>
      </c>
      <c r="J183" s="9" t="n"/>
      <c r="K183" s="12" t="n"/>
      <c r="L183" s="9">
        <f>IF(B183="","",IF(AND(J183&lt;&gt;"Paid",TODAY()&gt;D183),TODAY()-D183,0))</f>
        <v/>
      </c>
      <c r="M183" s="9">
        <f>IF(C183="","",MONTH(C183))</f>
        <v/>
      </c>
      <c r="N183" s="9">
        <f>IF(C183="","",YEAR(C183))</f>
        <v/>
      </c>
    </row>
    <row r="184">
      <c r="A184" s="9">
        <f>IF(B184="","",InvoicePrefix&amp;TEXT(StartNumber+ROW()-2,"0000"))</f>
        <v/>
      </c>
      <c r="B184" s="9" t="n"/>
      <c r="C184" s="12" t="n"/>
      <c r="D184" s="12" t="n"/>
      <c r="E184" s="9" t="n"/>
      <c r="F184" s="10" t="n"/>
      <c r="G184" s="13">
        <f>TaxRate</f>
        <v/>
      </c>
      <c r="H184" s="10">
        <f>IF(B184="","",F184*G184)</f>
        <v/>
      </c>
      <c r="I184" s="10">
        <f>IF(B184="","",F184+H184)</f>
        <v/>
      </c>
      <c r="J184" s="9" t="n"/>
      <c r="K184" s="12" t="n"/>
      <c r="L184" s="9">
        <f>IF(B184="","",IF(AND(J184&lt;&gt;"Paid",TODAY()&gt;D184),TODAY()-D184,0))</f>
        <v/>
      </c>
      <c r="M184" s="9">
        <f>IF(C184="","",MONTH(C184))</f>
        <v/>
      </c>
      <c r="N184" s="9">
        <f>IF(C184="","",YEAR(C184))</f>
        <v/>
      </c>
    </row>
    <row r="185">
      <c r="A185" s="9">
        <f>IF(B185="","",InvoicePrefix&amp;TEXT(StartNumber+ROW()-2,"0000"))</f>
        <v/>
      </c>
      <c r="B185" s="9" t="n"/>
      <c r="C185" s="12" t="n"/>
      <c r="D185" s="12" t="n"/>
      <c r="E185" s="9" t="n"/>
      <c r="F185" s="10" t="n"/>
      <c r="G185" s="13">
        <f>TaxRate</f>
        <v/>
      </c>
      <c r="H185" s="10">
        <f>IF(B185="","",F185*G185)</f>
        <v/>
      </c>
      <c r="I185" s="10">
        <f>IF(B185="","",F185+H185)</f>
        <v/>
      </c>
      <c r="J185" s="9" t="n"/>
      <c r="K185" s="12" t="n"/>
      <c r="L185" s="9">
        <f>IF(B185="","",IF(AND(J185&lt;&gt;"Paid",TODAY()&gt;D185),TODAY()-D185,0))</f>
        <v/>
      </c>
      <c r="M185" s="9">
        <f>IF(C185="","",MONTH(C185))</f>
        <v/>
      </c>
      <c r="N185" s="9">
        <f>IF(C185="","",YEAR(C185))</f>
        <v/>
      </c>
    </row>
    <row r="186">
      <c r="A186" s="9">
        <f>IF(B186="","",InvoicePrefix&amp;TEXT(StartNumber+ROW()-2,"0000"))</f>
        <v/>
      </c>
      <c r="B186" s="9" t="n"/>
      <c r="C186" s="12" t="n"/>
      <c r="D186" s="12" t="n"/>
      <c r="E186" s="9" t="n"/>
      <c r="F186" s="10" t="n"/>
      <c r="G186" s="13">
        <f>TaxRate</f>
        <v/>
      </c>
      <c r="H186" s="10">
        <f>IF(B186="","",F186*G186)</f>
        <v/>
      </c>
      <c r="I186" s="10">
        <f>IF(B186="","",F186+H186)</f>
        <v/>
      </c>
      <c r="J186" s="9" t="n"/>
      <c r="K186" s="12" t="n"/>
      <c r="L186" s="9">
        <f>IF(B186="","",IF(AND(J186&lt;&gt;"Paid",TODAY()&gt;D186),TODAY()-D186,0))</f>
        <v/>
      </c>
      <c r="M186" s="9">
        <f>IF(C186="","",MONTH(C186))</f>
        <v/>
      </c>
      <c r="N186" s="9">
        <f>IF(C186="","",YEAR(C186))</f>
        <v/>
      </c>
    </row>
    <row r="187">
      <c r="A187" s="9">
        <f>IF(B187="","",InvoicePrefix&amp;TEXT(StartNumber+ROW()-2,"0000"))</f>
        <v/>
      </c>
      <c r="B187" s="9" t="n"/>
      <c r="C187" s="12" t="n"/>
      <c r="D187" s="12" t="n"/>
      <c r="E187" s="9" t="n"/>
      <c r="F187" s="10" t="n"/>
      <c r="G187" s="13">
        <f>TaxRate</f>
        <v/>
      </c>
      <c r="H187" s="10">
        <f>IF(B187="","",F187*G187)</f>
        <v/>
      </c>
      <c r="I187" s="10">
        <f>IF(B187="","",F187+H187)</f>
        <v/>
      </c>
      <c r="J187" s="9" t="n"/>
      <c r="K187" s="12" t="n"/>
      <c r="L187" s="9">
        <f>IF(B187="","",IF(AND(J187&lt;&gt;"Paid",TODAY()&gt;D187),TODAY()-D187,0))</f>
        <v/>
      </c>
      <c r="M187" s="9">
        <f>IF(C187="","",MONTH(C187))</f>
        <v/>
      </c>
      <c r="N187" s="9">
        <f>IF(C187="","",YEAR(C187))</f>
        <v/>
      </c>
    </row>
    <row r="188">
      <c r="A188" s="9">
        <f>IF(B188="","",InvoicePrefix&amp;TEXT(StartNumber+ROW()-2,"0000"))</f>
        <v/>
      </c>
      <c r="B188" s="9" t="n"/>
      <c r="C188" s="12" t="n"/>
      <c r="D188" s="12" t="n"/>
      <c r="E188" s="9" t="n"/>
      <c r="F188" s="10" t="n"/>
      <c r="G188" s="13">
        <f>TaxRate</f>
        <v/>
      </c>
      <c r="H188" s="10">
        <f>IF(B188="","",F188*G188)</f>
        <v/>
      </c>
      <c r="I188" s="10">
        <f>IF(B188="","",F188+H188)</f>
        <v/>
      </c>
      <c r="J188" s="9" t="n"/>
      <c r="K188" s="12" t="n"/>
      <c r="L188" s="9">
        <f>IF(B188="","",IF(AND(J188&lt;&gt;"Paid",TODAY()&gt;D188),TODAY()-D188,0))</f>
        <v/>
      </c>
      <c r="M188" s="9">
        <f>IF(C188="","",MONTH(C188))</f>
        <v/>
      </c>
      <c r="N188" s="9">
        <f>IF(C188="","",YEAR(C188))</f>
        <v/>
      </c>
    </row>
    <row r="189">
      <c r="A189" s="9">
        <f>IF(B189="","",InvoicePrefix&amp;TEXT(StartNumber+ROW()-2,"0000"))</f>
        <v/>
      </c>
      <c r="B189" s="9" t="n"/>
      <c r="C189" s="12" t="n"/>
      <c r="D189" s="12" t="n"/>
      <c r="E189" s="9" t="n"/>
      <c r="F189" s="10" t="n"/>
      <c r="G189" s="13">
        <f>TaxRate</f>
        <v/>
      </c>
      <c r="H189" s="10">
        <f>IF(B189="","",F189*G189)</f>
        <v/>
      </c>
      <c r="I189" s="10">
        <f>IF(B189="","",F189+H189)</f>
        <v/>
      </c>
      <c r="J189" s="9" t="n"/>
      <c r="K189" s="12" t="n"/>
      <c r="L189" s="9">
        <f>IF(B189="","",IF(AND(J189&lt;&gt;"Paid",TODAY()&gt;D189),TODAY()-D189,0))</f>
        <v/>
      </c>
      <c r="M189" s="9">
        <f>IF(C189="","",MONTH(C189))</f>
        <v/>
      </c>
      <c r="N189" s="9">
        <f>IF(C189="","",YEAR(C189))</f>
        <v/>
      </c>
    </row>
    <row r="190">
      <c r="A190" s="9">
        <f>IF(B190="","",InvoicePrefix&amp;TEXT(StartNumber+ROW()-2,"0000"))</f>
        <v/>
      </c>
      <c r="B190" s="9" t="n"/>
      <c r="C190" s="12" t="n"/>
      <c r="D190" s="12" t="n"/>
      <c r="E190" s="9" t="n"/>
      <c r="F190" s="10" t="n"/>
      <c r="G190" s="13">
        <f>TaxRate</f>
        <v/>
      </c>
      <c r="H190" s="10">
        <f>IF(B190="","",F190*G190)</f>
        <v/>
      </c>
      <c r="I190" s="10">
        <f>IF(B190="","",F190+H190)</f>
        <v/>
      </c>
      <c r="J190" s="9" t="n"/>
      <c r="K190" s="12" t="n"/>
      <c r="L190" s="9">
        <f>IF(B190="","",IF(AND(J190&lt;&gt;"Paid",TODAY()&gt;D190),TODAY()-D190,0))</f>
        <v/>
      </c>
      <c r="M190" s="9">
        <f>IF(C190="","",MONTH(C190))</f>
        <v/>
      </c>
      <c r="N190" s="9">
        <f>IF(C190="","",YEAR(C190))</f>
        <v/>
      </c>
    </row>
    <row r="191">
      <c r="A191" s="9">
        <f>IF(B191="","",InvoicePrefix&amp;TEXT(StartNumber+ROW()-2,"0000"))</f>
        <v/>
      </c>
      <c r="B191" s="9" t="n"/>
      <c r="C191" s="12" t="n"/>
      <c r="D191" s="12" t="n"/>
      <c r="E191" s="9" t="n"/>
      <c r="F191" s="10" t="n"/>
      <c r="G191" s="13">
        <f>TaxRate</f>
        <v/>
      </c>
      <c r="H191" s="10">
        <f>IF(B191="","",F191*G191)</f>
        <v/>
      </c>
      <c r="I191" s="10">
        <f>IF(B191="","",F191+H191)</f>
        <v/>
      </c>
      <c r="J191" s="9" t="n"/>
      <c r="K191" s="12" t="n"/>
      <c r="L191" s="9">
        <f>IF(B191="","",IF(AND(J191&lt;&gt;"Paid",TODAY()&gt;D191),TODAY()-D191,0))</f>
        <v/>
      </c>
      <c r="M191" s="9">
        <f>IF(C191="","",MONTH(C191))</f>
        <v/>
      </c>
      <c r="N191" s="9">
        <f>IF(C191="","",YEAR(C191))</f>
        <v/>
      </c>
    </row>
    <row r="192">
      <c r="A192" s="9">
        <f>IF(B192="","",InvoicePrefix&amp;TEXT(StartNumber+ROW()-2,"0000"))</f>
        <v/>
      </c>
      <c r="B192" s="9" t="n"/>
      <c r="C192" s="12" t="n"/>
      <c r="D192" s="12" t="n"/>
      <c r="E192" s="9" t="n"/>
      <c r="F192" s="10" t="n"/>
      <c r="G192" s="13">
        <f>TaxRate</f>
        <v/>
      </c>
      <c r="H192" s="10">
        <f>IF(B192="","",F192*G192)</f>
        <v/>
      </c>
      <c r="I192" s="10">
        <f>IF(B192="","",F192+H192)</f>
        <v/>
      </c>
      <c r="J192" s="9" t="n"/>
      <c r="K192" s="12" t="n"/>
      <c r="L192" s="9">
        <f>IF(B192="","",IF(AND(J192&lt;&gt;"Paid",TODAY()&gt;D192),TODAY()-D192,0))</f>
        <v/>
      </c>
      <c r="M192" s="9">
        <f>IF(C192="","",MONTH(C192))</f>
        <v/>
      </c>
      <c r="N192" s="9">
        <f>IF(C192="","",YEAR(C192))</f>
        <v/>
      </c>
    </row>
    <row r="193">
      <c r="A193" s="9">
        <f>IF(B193="","",InvoicePrefix&amp;TEXT(StartNumber+ROW()-2,"0000"))</f>
        <v/>
      </c>
      <c r="B193" s="9" t="n"/>
      <c r="C193" s="12" t="n"/>
      <c r="D193" s="12" t="n"/>
      <c r="E193" s="9" t="n"/>
      <c r="F193" s="10" t="n"/>
      <c r="G193" s="13">
        <f>TaxRate</f>
        <v/>
      </c>
      <c r="H193" s="10">
        <f>IF(B193="","",F193*G193)</f>
        <v/>
      </c>
      <c r="I193" s="10">
        <f>IF(B193="","",F193+H193)</f>
        <v/>
      </c>
      <c r="J193" s="9" t="n"/>
      <c r="K193" s="12" t="n"/>
      <c r="L193" s="9">
        <f>IF(B193="","",IF(AND(J193&lt;&gt;"Paid",TODAY()&gt;D193),TODAY()-D193,0))</f>
        <v/>
      </c>
      <c r="M193" s="9">
        <f>IF(C193="","",MONTH(C193))</f>
        <v/>
      </c>
      <c r="N193" s="9">
        <f>IF(C193="","",YEAR(C193))</f>
        <v/>
      </c>
    </row>
    <row r="194">
      <c r="A194" s="9">
        <f>IF(B194="","",InvoicePrefix&amp;TEXT(StartNumber+ROW()-2,"0000"))</f>
        <v/>
      </c>
      <c r="B194" s="9" t="n"/>
      <c r="C194" s="12" t="n"/>
      <c r="D194" s="12" t="n"/>
      <c r="E194" s="9" t="n"/>
      <c r="F194" s="10" t="n"/>
      <c r="G194" s="13">
        <f>TaxRate</f>
        <v/>
      </c>
      <c r="H194" s="10">
        <f>IF(B194="","",F194*G194)</f>
        <v/>
      </c>
      <c r="I194" s="10">
        <f>IF(B194="","",F194+H194)</f>
        <v/>
      </c>
      <c r="J194" s="9" t="n"/>
      <c r="K194" s="12" t="n"/>
      <c r="L194" s="9">
        <f>IF(B194="","",IF(AND(J194&lt;&gt;"Paid",TODAY()&gt;D194),TODAY()-D194,0))</f>
        <v/>
      </c>
      <c r="M194" s="9">
        <f>IF(C194="","",MONTH(C194))</f>
        <v/>
      </c>
      <c r="N194" s="9">
        <f>IF(C194="","",YEAR(C194))</f>
        <v/>
      </c>
    </row>
    <row r="195">
      <c r="A195" s="9">
        <f>IF(B195="","",InvoicePrefix&amp;TEXT(StartNumber+ROW()-2,"0000"))</f>
        <v/>
      </c>
      <c r="B195" s="9" t="n"/>
      <c r="C195" s="12" t="n"/>
      <c r="D195" s="12" t="n"/>
      <c r="E195" s="9" t="n"/>
      <c r="F195" s="10" t="n"/>
      <c r="G195" s="13">
        <f>TaxRate</f>
        <v/>
      </c>
      <c r="H195" s="10">
        <f>IF(B195="","",F195*G195)</f>
        <v/>
      </c>
      <c r="I195" s="10">
        <f>IF(B195="","",F195+H195)</f>
        <v/>
      </c>
      <c r="J195" s="9" t="n"/>
      <c r="K195" s="12" t="n"/>
      <c r="L195" s="9">
        <f>IF(B195="","",IF(AND(J195&lt;&gt;"Paid",TODAY()&gt;D195),TODAY()-D195,0))</f>
        <v/>
      </c>
      <c r="M195" s="9">
        <f>IF(C195="","",MONTH(C195))</f>
        <v/>
      </c>
      <c r="N195" s="9">
        <f>IF(C195="","",YEAR(C195))</f>
        <v/>
      </c>
    </row>
    <row r="196">
      <c r="A196" s="9">
        <f>IF(B196="","",InvoicePrefix&amp;TEXT(StartNumber+ROW()-2,"0000"))</f>
        <v/>
      </c>
      <c r="B196" s="9" t="n"/>
      <c r="C196" s="12" t="n"/>
      <c r="D196" s="12" t="n"/>
      <c r="E196" s="9" t="n"/>
      <c r="F196" s="10" t="n"/>
      <c r="G196" s="13">
        <f>TaxRate</f>
        <v/>
      </c>
      <c r="H196" s="10">
        <f>IF(B196="","",F196*G196)</f>
        <v/>
      </c>
      <c r="I196" s="10">
        <f>IF(B196="","",F196+H196)</f>
        <v/>
      </c>
      <c r="J196" s="9" t="n"/>
      <c r="K196" s="12" t="n"/>
      <c r="L196" s="9">
        <f>IF(B196="","",IF(AND(J196&lt;&gt;"Paid",TODAY()&gt;D196),TODAY()-D196,0))</f>
        <v/>
      </c>
      <c r="M196" s="9">
        <f>IF(C196="","",MONTH(C196))</f>
        <v/>
      </c>
      <c r="N196" s="9">
        <f>IF(C196="","",YEAR(C196))</f>
        <v/>
      </c>
    </row>
    <row r="197">
      <c r="A197" s="9">
        <f>IF(B197="","",InvoicePrefix&amp;TEXT(StartNumber+ROW()-2,"0000"))</f>
        <v/>
      </c>
      <c r="B197" s="9" t="n"/>
      <c r="C197" s="12" t="n"/>
      <c r="D197" s="12" t="n"/>
      <c r="E197" s="9" t="n"/>
      <c r="F197" s="10" t="n"/>
      <c r="G197" s="13">
        <f>TaxRate</f>
        <v/>
      </c>
      <c r="H197" s="10">
        <f>IF(B197="","",F197*G197)</f>
        <v/>
      </c>
      <c r="I197" s="10">
        <f>IF(B197="","",F197+H197)</f>
        <v/>
      </c>
      <c r="J197" s="9" t="n"/>
      <c r="K197" s="12" t="n"/>
      <c r="L197" s="9">
        <f>IF(B197="","",IF(AND(J197&lt;&gt;"Paid",TODAY()&gt;D197),TODAY()-D197,0))</f>
        <v/>
      </c>
      <c r="M197" s="9">
        <f>IF(C197="","",MONTH(C197))</f>
        <v/>
      </c>
      <c r="N197" s="9">
        <f>IF(C197="","",YEAR(C197))</f>
        <v/>
      </c>
    </row>
    <row r="198">
      <c r="A198" s="9">
        <f>IF(B198="","",InvoicePrefix&amp;TEXT(StartNumber+ROW()-2,"0000"))</f>
        <v/>
      </c>
      <c r="B198" s="9" t="n"/>
      <c r="C198" s="12" t="n"/>
      <c r="D198" s="12" t="n"/>
      <c r="E198" s="9" t="n"/>
      <c r="F198" s="10" t="n"/>
      <c r="G198" s="13">
        <f>TaxRate</f>
        <v/>
      </c>
      <c r="H198" s="10">
        <f>IF(B198="","",F198*G198)</f>
        <v/>
      </c>
      <c r="I198" s="10">
        <f>IF(B198="","",F198+H198)</f>
        <v/>
      </c>
      <c r="J198" s="9" t="n"/>
      <c r="K198" s="12" t="n"/>
      <c r="L198" s="9">
        <f>IF(B198="","",IF(AND(J198&lt;&gt;"Paid",TODAY()&gt;D198),TODAY()-D198,0))</f>
        <v/>
      </c>
      <c r="M198" s="9">
        <f>IF(C198="","",MONTH(C198))</f>
        <v/>
      </c>
      <c r="N198" s="9">
        <f>IF(C198="","",YEAR(C198))</f>
        <v/>
      </c>
    </row>
    <row r="199">
      <c r="A199" s="9">
        <f>IF(B199="","",InvoicePrefix&amp;TEXT(StartNumber+ROW()-2,"0000"))</f>
        <v/>
      </c>
      <c r="B199" s="9" t="n"/>
      <c r="C199" s="12" t="n"/>
      <c r="D199" s="12" t="n"/>
      <c r="E199" s="9" t="n"/>
      <c r="F199" s="10" t="n"/>
      <c r="G199" s="13">
        <f>TaxRate</f>
        <v/>
      </c>
      <c r="H199" s="10">
        <f>IF(B199="","",F199*G199)</f>
        <v/>
      </c>
      <c r="I199" s="10">
        <f>IF(B199="","",F199+H199)</f>
        <v/>
      </c>
      <c r="J199" s="9" t="n"/>
      <c r="K199" s="12" t="n"/>
      <c r="L199" s="9">
        <f>IF(B199="","",IF(AND(J199&lt;&gt;"Paid",TODAY()&gt;D199),TODAY()-D199,0))</f>
        <v/>
      </c>
      <c r="M199" s="9">
        <f>IF(C199="","",MONTH(C199))</f>
        <v/>
      </c>
      <c r="N199" s="9">
        <f>IF(C199="","",YEAR(C199))</f>
        <v/>
      </c>
    </row>
    <row r="200">
      <c r="A200" s="9">
        <f>IF(B200="","",InvoicePrefix&amp;TEXT(StartNumber+ROW()-2,"0000"))</f>
        <v/>
      </c>
      <c r="B200" s="9" t="n"/>
      <c r="C200" s="12" t="n"/>
      <c r="D200" s="12" t="n"/>
      <c r="E200" s="9" t="n"/>
      <c r="F200" s="10" t="n"/>
      <c r="G200" s="13">
        <f>TaxRate</f>
        <v/>
      </c>
      <c r="H200" s="10">
        <f>IF(B200="","",F200*G200)</f>
        <v/>
      </c>
      <c r="I200" s="10">
        <f>IF(B200="","",F200+H200)</f>
        <v/>
      </c>
      <c r="J200" s="9" t="n"/>
      <c r="K200" s="12" t="n"/>
      <c r="L200" s="9">
        <f>IF(B200="","",IF(AND(J200&lt;&gt;"Paid",TODAY()&gt;D200),TODAY()-D200,0))</f>
        <v/>
      </c>
      <c r="M200" s="9">
        <f>IF(C200="","",MONTH(C200))</f>
        <v/>
      </c>
      <c r="N200" s="9">
        <f>IF(C200="","",YEAR(C200))</f>
        <v/>
      </c>
    </row>
    <row r="201">
      <c r="A201" s="9">
        <f>IF(B201="","",InvoicePrefix&amp;TEXT(StartNumber+ROW()-2,"0000"))</f>
        <v/>
      </c>
      <c r="B201" s="9" t="n"/>
      <c r="C201" s="12" t="n"/>
      <c r="D201" s="12" t="n"/>
      <c r="E201" s="9" t="n"/>
      <c r="F201" s="10" t="n"/>
      <c r="G201" s="13">
        <f>TaxRate</f>
        <v/>
      </c>
      <c r="H201" s="10">
        <f>IF(B201="","",F201*G201)</f>
        <v/>
      </c>
      <c r="I201" s="10">
        <f>IF(B201="","",F201+H201)</f>
        <v/>
      </c>
      <c r="J201" s="9" t="n"/>
      <c r="K201" s="12" t="n"/>
      <c r="L201" s="9">
        <f>IF(B201="","",IF(AND(J201&lt;&gt;"Paid",TODAY()&gt;D201),TODAY()-D201,0))</f>
        <v/>
      </c>
      <c r="M201" s="9">
        <f>IF(C201="","",MONTH(C201))</f>
        <v/>
      </c>
      <c r="N201" s="9">
        <f>IF(C201="","",YEAR(C201))</f>
        <v/>
      </c>
    </row>
    <row r="202">
      <c r="A202" s="9">
        <f>IF(B202="","",InvoicePrefix&amp;TEXT(StartNumber+ROW()-2,"0000"))</f>
        <v/>
      </c>
      <c r="B202" s="9" t="n"/>
      <c r="C202" s="12" t="n"/>
      <c r="D202" s="12" t="n"/>
      <c r="E202" s="9" t="n"/>
      <c r="F202" s="10" t="n"/>
      <c r="G202" s="13">
        <f>TaxRate</f>
        <v/>
      </c>
      <c r="H202" s="10">
        <f>IF(B202="","",F202*G202)</f>
        <v/>
      </c>
      <c r="I202" s="10">
        <f>IF(B202="","",F202+H202)</f>
        <v/>
      </c>
      <c r="J202" s="9" t="n"/>
      <c r="K202" s="12" t="n"/>
      <c r="L202" s="9">
        <f>IF(B202="","",IF(AND(J202&lt;&gt;"Paid",TODAY()&gt;D202),TODAY()-D202,0))</f>
        <v/>
      </c>
      <c r="M202" s="9">
        <f>IF(C202="","",MONTH(C202))</f>
        <v/>
      </c>
      <c r="N202" s="9">
        <f>IF(C202="","",YEAR(C202))</f>
        <v/>
      </c>
    </row>
    <row r="203">
      <c r="A203" s="9">
        <f>IF(B203="","",InvoicePrefix&amp;TEXT(StartNumber+ROW()-2,"0000"))</f>
        <v/>
      </c>
      <c r="B203" s="9" t="n"/>
      <c r="C203" s="12" t="n"/>
      <c r="D203" s="12" t="n"/>
      <c r="E203" s="9" t="n"/>
      <c r="F203" s="10" t="n"/>
      <c r="G203" s="13">
        <f>TaxRate</f>
        <v/>
      </c>
      <c r="H203" s="10">
        <f>IF(B203="","",F203*G203)</f>
        <v/>
      </c>
      <c r="I203" s="10">
        <f>IF(B203="","",F203+H203)</f>
        <v/>
      </c>
      <c r="J203" s="9" t="n"/>
      <c r="K203" s="12" t="n"/>
      <c r="L203" s="9">
        <f>IF(B203="","",IF(AND(J203&lt;&gt;"Paid",TODAY()&gt;D203),TODAY()-D203,0))</f>
        <v/>
      </c>
      <c r="M203" s="9">
        <f>IF(C203="","",MONTH(C203))</f>
        <v/>
      </c>
      <c r="N203" s="9">
        <f>IF(C203="","",YEAR(C203))</f>
        <v/>
      </c>
    </row>
    <row r="204">
      <c r="A204" s="9">
        <f>IF(B204="","",InvoicePrefix&amp;TEXT(StartNumber+ROW()-2,"0000"))</f>
        <v/>
      </c>
      <c r="B204" s="9" t="n"/>
      <c r="C204" s="12" t="n"/>
      <c r="D204" s="12" t="n"/>
      <c r="E204" s="9" t="n"/>
      <c r="F204" s="10" t="n"/>
      <c r="G204" s="13">
        <f>TaxRate</f>
        <v/>
      </c>
      <c r="H204" s="10">
        <f>IF(B204="","",F204*G204)</f>
        <v/>
      </c>
      <c r="I204" s="10">
        <f>IF(B204="","",F204+H204)</f>
        <v/>
      </c>
      <c r="J204" s="9" t="n"/>
      <c r="K204" s="12" t="n"/>
      <c r="L204" s="9">
        <f>IF(B204="","",IF(AND(J204&lt;&gt;"Paid",TODAY()&gt;D204),TODAY()-D204,0))</f>
        <v/>
      </c>
      <c r="M204" s="9">
        <f>IF(C204="","",MONTH(C204))</f>
        <v/>
      </c>
      <c r="N204" s="9">
        <f>IF(C204="","",YEAR(C204))</f>
        <v/>
      </c>
    </row>
    <row r="205">
      <c r="A205" s="9">
        <f>IF(B205="","",InvoicePrefix&amp;TEXT(StartNumber+ROW()-2,"0000"))</f>
        <v/>
      </c>
      <c r="B205" s="9" t="n"/>
      <c r="C205" s="12" t="n"/>
      <c r="D205" s="12" t="n"/>
      <c r="E205" s="9" t="n"/>
      <c r="F205" s="10" t="n"/>
      <c r="G205" s="13">
        <f>TaxRate</f>
        <v/>
      </c>
      <c r="H205" s="10">
        <f>IF(B205="","",F205*G205)</f>
        <v/>
      </c>
      <c r="I205" s="10">
        <f>IF(B205="","",F205+H205)</f>
        <v/>
      </c>
      <c r="J205" s="9" t="n"/>
      <c r="K205" s="12" t="n"/>
      <c r="L205" s="9">
        <f>IF(B205="","",IF(AND(J205&lt;&gt;"Paid",TODAY()&gt;D205),TODAY()-D205,0))</f>
        <v/>
      </c>
      <c r="M205" s="9">
        <f>IF(C205="","",MONTH(C205))</f>
        <v/>
      </c>
      <c r="N205" s="9">
        <f>IF(C205="","",YEAR(C205))</f>
        <v/>
      </c>
    </row>
    <row r="206">
      <c r="A206" s="9">
        <f>IF(B206="","",InvoicePrefix&amp;TEXT(StartNumber+ROW()-2,"0000"))</f>
        <v/>
      </c>
      <c r="B206" s="9" t="n"/>
      <c r="C206" s="12" t="n"/>
      <c r="D206" s="12" t="n"/>
      <c r="E206" s="9" t="n"/>
      <c r="F206" s="10" t="n"/>
      <c r="G206" s="13">
        <f>TaxRate</f>
        <v/>
      </c>
      <c r="H206" s="10">
        <f>IF(B206="","",F206*G206)</f>
        <v/>
      </c>
      <c r="I206" s="10">
        <f>IF(B206="","",F206+H206)</f>
        <v/>
      </c>
      <c r="J206" s="9" t="n"/>
      <c r="K206" s="12" t="n"/>
      <c r="L206" s="9">
        <f>IF(B206="","",IF(AND(J206&lt;&gt;"Paid",TODAY()&gt;D206),TODAY()-D206,0))</f>
        <v/>
      </c>
      <c r="M206" s="9">
        <f>IF(C206="","",MONTH(C206))</f>
        <v/>
      </c>
      <c r="N206" s="9">
        <f>IF(C206="","",YEAR(C206))</f>
        <v/>
      </c>
    </row>
    <row r="207">
      <c r="A207" s="9">
        <f>IF(B207="","",InvoicePrefix&amp;TEXT(StartNumber+ROW()-2,"0000"))</f>
        <v/>
      </c>
      <c r="B207" s="9" t="n"/>
      <c r="C207" s="12" t="n"/>
      <c r="D207" s="12" t="n"/>
      <c r="E207" s="9" t="n"/>
      <c r="F207" s="10" t="n"/>
      <c r="G207" s="13">
        <f>TaxRate</f>
        <v/>
      </c>
      <c r="H207" s="10">
        <f>IF(B207="","",F207*G207)</f>
        <v/>
      </c>
      <c r="I207" s="10">
        <f>IF(B207="","",F207+H207)</f>
        <v/>
      </c>
      <c r="J207" s="9" t="n"/>
      <c r="K207" s="12" t="n"/>
      <c r="L207" s="9">
        <f>IF(B207="","",IF(AND(J207&lt;&gt;"Paid",TODAY()&gt;D207),TODAY()-D207,0))</f>
        <v/>
      </c>
      <c r="M207" s="9">
        <f>IF(C207="","",MONTH(C207))</f>
        <v/>
      </c>
      <c r="N207" s="9">
        <f>IF(C207="","",YEAR(C207))</f>
        <v/>
      </c>
    </row>
    <row r="208">
      <c r="A208" s="9">
        <f>IF(B208="","",InvoicePrefix&amp;TEXT(StartNumber+ROW()-2,"0000"))</f>
        <v/>
      </c>
      <c r="B208" s="9" t="n"/>
      <c r="C208" s="12" t="n"/>
      <c r="D208" s="12" t="n"/>
      <c r="E208" s="9" t="n"/>
      <c r="F208" s="10" t="n"/>
      <c r="G208" s="13">
        <f>TaxRate</f>
        <v/>
      </c>
      <c r="H208" s="10">
        <f>IF(B208="","",F208*G208)</f>
        <v/>
      </c>
      <c r="I208" s="10">
        <f>IF(B208="","",F208+H208)</f>
        <v/>
      </c>
      <c r="J208" s="9" t="n"/>
      <c r="K208" s="12" t="n"/>
      <c r="L208" s="9">
        <f>IF(B208="","",IF(AND(J208&lt;&gt;"Paid",TODAY()&gt;D208),TODAY()-D208,0))</f>
        <v/>
      </c>
      <c r="M208" s="9">
        <f>IF(C208="","",MONTH(C208))</f>
        <v/>
      </c>
      <c r="N208" s="9">
        <f>IF(C208="","",YEAR(C208))</f>
        <v/>
      </c>
    </row>
    <row r="209">
      <c r="A209" s="9">
        <f>IF(B209="","",InvoicePrefix&amp;TEXT(StartNumber+ROW()-2,"0000"))</f>
        <v/>
      </c>
      <c r="B209" s="9" t="n"/>
      <c r="C209" s="12" t="n"/>
      <c r="D209" s="12" t="n"/>
      <c r="E209" s="9" t="n"/>
      <c r="F209" s="10" t="n"/>
      <c r="G209" s="13">
        <f>TaxRate</f>
        <v/>
      </c>
      <c r="H209" s="10">
        <f>IF(B209="","",F209*G209)</f>
        <v/>
      </c>
      <c r="I209" s="10">
        <f>IF(B209="","",F209+H209)</f>
        <v/>
      </c>
      <c r="J209" s="9" t="n"/>
      <c r="K209" s="12" t="n"/>
      <c r="L209" s="9">
        <f>IF(B209="","",IF(AND(J209&lt;&gt;"Paid",TODAY()&gt;D209),TODAY()-D209,0))</f>
        <v/>
      </c>
      <c r="M209" s="9">
        <f>IF(C209="","",MONTH(C209))</f>
        <v/>
      </c>
      <c r="N209" s="9">
        <f>IF(C209="","",YEAR(C209))</f>
        <v/>
      </c>
    </row>
    <row r="210">
      <c r="A210" s="9">
        <f>IF(B210="","",InvoicePrefix&amp;TEXT(StartNumber+ROW()-2,"0000"))</f>
        <v/>
      </c>
      <c r="B210" s="9" t="n"/>
      <c r="C210" s="12" t="n"/>
      <c r="D210" s="12" t="n"/>
      <c r="E210" s="9" t="n"/>
      <c r="F210" s="10" t="n"/>
      <c r="G210" s="13">
        <f>TaxRate</f>
        <v/>
      </c>
      <c r="H210" s="10">
        <f>IF(B210="","",F210*G210)</f>
        <v/>
      </c>
      <c r="I210" s="10">
        <f>IF(B210="","",F210+H210)</f>
        <v/>
      </c>
      <c r="J210" s="9" t="n"/>
      <c r="K210" s="12" t="n"/>
      <c r="L210" s="9">
        <f>IF(B210="","",IF(AND(J210&lt;&gt;"Paid",TODAY()&gt;D210),TODAY()-D210,0))</f>
        <v/>
      </c>
      <c r="M210" s="9">
        <f>IF(C210="","",MONTH(C210))</f>
        <v/>
      </c>
      <c r="N210" s="9">
        <f>IF(C210="","",YEAR(C210))</f>
        <v/>
      </c>
    </row>
    <row r="211">
      <c r="A211" s="9">
        <f>IF(B211="","",InvoicePrefix&amp;TEXT(StartNumber+ROW()-2,"0000"))</f>
        <v/>
      </c>
      <c r="B211" s="9" t="n"/>
      <c r="C211" s="12" t="n"/>
      <c r="D211" s="12" t="n"/>
      <c r="E211" s="9" t="n"/>
      <c r="F211" s="10" t="n"/>
      <c r="G211" s="13">
        <f>TaxRate</f>
        <v/>
      </c>
      <c r="H211" s="10">
        <f>IF(B211="","",F211*G211)</f>
        <v/>
      </c>
      <c r="I211" s="10">
        <f>IF(B211="","",F211+H211)</f>
        <v/>
      </c>
      <c r="J211" s="9" t="n"/>
      <c r="K211" s="12" t="n"/>
      <c r="L211" s="9">
        <f>IF(B211="","",IF(AND(J211&lt;&gt;"Paid",TODAY()&gt;D211),TODAY()-D211,0))</f>
        <v/>
      </c>
      <c r="M211" s="9">
        <f>IF(C211="","",MONTH(C211))</f>
        <v/>
      </c>
      <c r="N211" s="9">
        <f>IF(C211="","",YEAR(C211))</f>
        <v/>
      </c>
    </row>
    <row r="212">
      <c r="A212" s="9">
        <f>IF(B212="","",InvoicePrefix&amp;TEXT(StartNumber+ROW()-2,"0000"))</f>
        <v/>
      </c>
      <c r="B212" s="9" t="n"/>
      <c r="C212" s="12" t="n"/>
      <c r="D212" s="12" t="n"/>
      <c r="E212" s="9" t="n"/>
      <c r="F212" s="10" t="n"/>
      <c r="G212" s="13">
        <f>TaxRate</f>
        <v/>
      </c>
      <c r="H212" s="10">
        <f>IF(B212="","",F212*G212)</f>
        <v/>
      </c>
      <c r="I212" s="10">
        <f>IF(B212="","",F212+H212)</f>
        <v/>
      </c>
      <c r="J212" s="9" t="n"/>
      <c r="K212" s="12" t="n"/>
      <c r="L212" s="9">
        <f>IF(B212="","",IF(AND(J212&lt;&gt;"Paid",TODAY()&gt;D212),TODAY()-D212,0))</f>
        <v/>
      </c>
      <c r="M212" s="9">
        <f>IF(C212="","",MONTH(C212))</f>
        <v/>
      </c>
      <c r="N212" s="9">
        <f>IF(C212="","",YEAR(C212))</f>
        <v/>
      </c>
    </row>
    <row r="213">
      <c r="A213" s="9">
        <f>IF(B213="","",InvoicePrefix&amp;TEXT(StartNumber+ROW()-2,"0000"))</f>
        <v/>
      </c>
      <c r="B213" s="9" t="n"/>
      <c r="C213" s="12" t="n"/>
      <c r="D213" s="12" t="n"/>
      <c r="E213" s="9" t="n"/>
      <c r="F213" s="10" t="n"/>
      <c r="G213" s="13">
        <f>TaxRate</f>
        <v/>
      </c>
      <c r="H213" s="10">
        <f>IF(B213="","",F213*G213)</f>
        <v/>
      </c>
      <c r="I213" s="10">
        <f>IF(B213="","",F213+H213)</f>
        <v/>
      </c>
      <c r="J213" s="9" t="n"/>
      <c r="K213" s="12" t="n"/>
      <c r="L213" s="9">
        <f>IF(B213="","",IF(AND(J213&lt;&gt;"Paid",TODAY()&gt;D213),TODAY()-D213,0))</f>
        <v/>
      </c>
      <c r="M213" s="9">
        <f>IF(C213="","",MONTH(C213))</f>
        <v/>
      </c>
      <c r="N213" s="9">
        <f>IF(C213="","",YEAR(C213))</f>
        <v/>
      </c>
    </row>
    <row r="214">
      <c r="A214" s="9">
        <f>IF(B214="","",InvoicePrefix&amp;TEXT(StartNumber+ROW()-2,"0000"))</f>
        <v/>
      </c>
      <c r="B214" s="9" t="n"/>
      <c r="C214" s="12" t="n"/>
      <c r="D214" s="12" t="n"/>
      <c r="E214" s="9" t="n"/>
      <c r="F214" s="10" t="n"/>
      <c r="G214" s="13">
        <f>TaxRate</f>
        <v/>
      </c>
      <c r="H214" s="10">
        <f>IF(B214="","",F214*G214)</f>
        <v/>
      </c>
      <c r="I214" s="10">
        <f>IF(B214="","",F214+H214)</f>
        <v/>
      </c>
      <c r="J214" s="9" t="n"/>
      <c r="K214" s="12" t="n"/>
      <c r="L214" s="9">
        <f>IF(B214="","",IF(AND(J214&lt;&gt;"Paid",TODAY()&gt;D214),TODAY()-D214,0))</f>
        <v/>
      </c>
      <c r="M214" s="9">
        <f>IF(C214="","",MONTH(C214))</f>
        <v/>
      </c>
      <c r="N214" s="9">
        <f>IF(C214="","",YEAR(C214))</f>
        <v/>
      </c>
    </row>
    <row r="215">
      <c r="A215" s="9">
        <f>IF(B215="","",InvoicePrefix&amp;TEXT(StartNumber+ROW()-2,"0000"))</f>
        <v/>
      </c>
      <c r="B215" s="9" t="n"/>
      <c r="C215" s="12" t="n"/>
      <c r="D215" s="12" t="n"/>
      <c r="E215" s="9" t="n"/>
      <c r="F215" s="10" t="n"/>
      <c r="G215" s="13">
        <f>TaxRate</f>
        <v/>
      </c>
      <c r="H215" s="10">
        <f>IF(B215="","",F215*G215)</f>
        <v/>
      </c>
      <c r="I215" s="10">
        <f>IF(B215="","",F215+H215)</f>
        <v/>
      </c>
      <c r="J215" s="9" t="n"/>
      <c r="K215" s="12" t="n"/>
      <c r="L215" s="9">
        <f>IF(B215="","",IF(AND(J215&lt;&gt;"Paid",TODAY()&gt;D215),TODAY()-D215,0))</f>
        <v/>
      </c>
      <c r="M215" s="9">
        <f>IF(C215="","",MONTH(C215))</f>
        <v/>
      </c>
      <c r="N215" s="9">
        <f>IF(C215="","",YEAR(C215))</f>
        <v/>
      </c>
    </row>
    <row r="216">
      <c r="A216" s="9">
        <f>IF(B216="","",InvoicePrefix&amp;TEXT(StartNumber+ROW()-2,"0000"))</f>
        <v/>
      </c>
      <c r="B216" s="9" t="n"/>
      <c r="C216" s="12" t="n"/>
      <c r="D216" s="12" t="n"/>
      <c r="E216" s="9" t="n"/>
      <c r="F216" s="10" t="n"/>
      <c r="G216" s="13">
        <f>TaxRate</f>
        <v/>
      </c>
      <c r="H216" s="10">
        <f>IF(B216="","",F216*G216)</f>
        <v/>
      </c>
      <c r="I216" s="10">
        <f>IF(B216="","",F216+H216)</f>
        <v/>
      </c>
      <c r="J216" s="9" t="n"/>
      <c r="K216" s="12" t="n"/>
      <c r="L216" s="9">
        <f>IF(B216="","",IF(AND(J216&lt;&gt;"Paid",TODAY()&gt;D216),TODAY()-D216,0))</f>
        <v/>
      </c>
      <c r="M216" s="9">
        <f>IF(C216="","",MONTH(C216))</f>
        <v/>
      </c>
      <c r="N216" s="9">
        <f>IF(C216="","",YEAR(C216))</f>
        <v/>
      </c>
    </row>
    <row r="217">
      <c r="A217" s="9">
        <f>IF(B217="","",InvoicePrefix&amp;TEXT(StartNumber+ROW()-2,"0000"))</f>
        <v/>
      </c>
      <c r="B217" s="9" t="n"/>
      <c r="C217" s="12" t="n"/>
      <c r="D217" s="12" t="n"/>
      <c r="E217" s="9" t="n"/>
      <c r="F217" s="10" t="n"/>
      <c r="G217" s="13">
        <f>TaxRate</f>
        <v/>
      </c>
      <c r="H217" s="10">
        <f>IF(B217="","",F217*G217)</f>
        <v/>
      </c>
      <c r="I217" s="10">
        <f>IF(B217="","",F217+H217)</f>
        <v/>
      </c>
      <c r="J217" s="9" t="n"/>
      <c r="K217" s="12" t="n"/>
      <c r="L217" s="9">
        <f>IF(B217="","",IF(AND(J217&lt;&gt;"Paid",TODAY()&gt;D217),TODAY()-D217,0))</f>
        <v/>
      </c>
      <c r="M217" s="9">
        <f>IF(C217="","",MONTH(C217))</f>
        <v/>
      </c>
      <c r="N217" s="9">
        <f>IF(C217="","",YEAR(C217))</f>
        <v/>
      </c>
    </row>
    <row r="218">
      <c r="A218" s="9">
        <f>IF(B218="","",InvoicePrefix&amp;TEXT(StartNumber+ROW()-2,"0000"))</f>
        <v/>
      </c>
      <c r="B218" s="9" t="n"/>
      <c r="C218" s="12" t="n"/>
      <c r="D218" s="12" t="n"/>
      <c r="E218" s="9" t="n"/>
      <c r="F218" s="10" t="n"/>
      <c r="G218" s="13">
        <f>TaxRate</f>
        <v/>
      </c>
      <c r="H218" s="10">
        <f>IF(B218="","",F218*G218)</f>
        <v/>
      </c>
      <c r="I218" s="10">
        <f>IF(B218="","",F218+H218)</f>
        <v/>
      </c>
      <c r="J218" s="9" t="n"/>
      <c r="K218" s="12" t="n"/>
      <c r="L218" s="9">
        <f>IF(B218="","",IF(AND(J218&lt;&gt;"Paid",TODAY()&gt;D218),TODAY()-D218,0))</f>
        <v/>
      </c>
      <c r="M218" s="9">
        <f>IF(C218="","",MONTH(C218))</f>
        <v/>
      </c>
      <c r="N218" s="9">
        <f>IF(C218="","",YEAR(C218))</f>
        <v/>
      </c>
    </row>
    <row r="219">
      <c r="A219" s="9">
        <f>IF(B219="","",InvoicePrefix&amp;TEXT(StartNumber+ROW()-2,"0000"))</f>
        <v/>
      </c>
      <c r="B219" s="9" t="n"/>
      <c r="C219" s="12" t="n"/>
      <c r="D219" s="12" t="n"/>
      <c r="E219" s="9" t="n"/>
      <c r="F219" s="10" t="n"/>
      <c r="G219" s="13">
        <f>TaxRate</f>
        <v/>
      </c>
      <c r="H219" s="10">
        <f>IF(B219="","",F219*G219)</f>
        <v/>
      </c>
      <c r="I219" s="10">
        <f>IF(B219="","",F219+H219)</f>
        <v/>
      </c>
      <c r="J219" s="9" t="n"/>
      <c r="K219" s="12" t="n"/>
      <c r="L219" s="9">
        <f>IF(B219="","",IF(AND(J219&lt;&gt;"Paid",TODAY()&gt;D219),TODAY()-D219,0))</f>
        <v/>
      </c>
      <c r="M219" s="9">
        <f>IF(C219="","",MONTH(C219))</f>
        <v/>
      </c>
      <c r="N219" s="9">
        <f>IF(C219="","",YEAR(C219))</f>
        <v/>
      </c>
    </row>
    <row r="220">
      <c r="A220" s="9">
        <f>IF(B220="","",InvoicePrefix&amp;TEXT(StartNumber+ROW()-2,"0000"))</f>
        <v/>
      </c>
      <c r="B220" s="9" t="n"/>
      <c r="C220" s="12" t="n"/>
      <c r="D220" s="12" t="n"/>
      <c r="E220" s="9" t="n"/>
      <c r="F220" s="10" t="n"/>
      <c r="G220" s="13">
        <f>TaxRate</f>
        <v/>
      </c>
      <c r="H220" s="10">
        <f>IF(B220="","",F220*G220)</f>
        <v/>
      </c>
      <c r="I220" s="10">
        <f>IF(B220="","",F220+H220)</f>
        <v/>
      </c>
      <c r="J220" s="9" t="n"/>
      <c r="K220" s="12" t="n"/>
      <c r="L220" s="9">
        <f>IF(B220="","",IF(AND(J220&lt;&gt;"Paid",TODAY()&gt;D220),TODAY()-D220,0))</f>
        <v/>
      </c>
      <c r="M220" s="9">
        <f>IF(C220="","",MONTH(C220))</f>
        <v/>
      </c>
      <c r="N220" s="9">
        <f>IF(C220="","",YEAR(C220))</f>
        <v/>
      </c>
    </row>
    <row r="221">
      <c r="A221" s="9">
        <f>IF(B221="","",InvoicePrefix&amp;TEXT(StartNumber+ROW()-2,"0000"))</f>
        <v/>
      </c>
      <c r="B221" s="9" t="n"/>
      <c r="C221" s="12" t="n"/>
      <c r="D221" s="12" t="n"/>
      <c r="E221" s="9" t="n"/>
      <c r="F221" s="10" t="n"/>
      <c r="G221" s="13">
        <f>TaxRate</f>
        <v/>
      </c>
      <c r="H221" s="10">
        <f>IF(B221="","",F221*G221)</f>
        <v/>
      </c>
      <c r="I221" s="10">
        <f>IF(B221="","",F221+H221)</f>
        <v/>
      </c>
      <c r="J221" s="9" t="n"/>
      <c r="K221" s="12" t="n"/>
      <c r="L221" s="9">
        <f>IF(B221="","",IF(AND(J221&lt;&gt;"Paid",TODAY()&gt;D221),TODAY()-D221,0))</f>
        <v/>
      </c>
      <c r="M221" s="9">
        <f>IF(C221="","",MONTH(C221))</f>
        <v/>
      </c>
      <c r="N221" s="9">
        <f>IF(C221="","",YEAR(C221))</f>
        <v/>
      </c>
    </row>
    <row r="222">
      <c r="A222" s="9">
        <f>IF(B222="","",InvoicePrefix&amp;TEXT(StartNumber+ROW()-2,"0000"))</f>
        <v/>
      </c>
      <c r="B222" s="9" t="n"/>
      <c r="C222" s="12" t="n"/>
      <c r="D222" s="12" t="n"/>
      <c r="E222" s="9" t="n"/>
      <c r="F222" s="10" t="n"/>
      <c r="G222" s="13">
        <f>TaxRate</f>
        <v/>
      </c>
      <c r="H222" s="10">
        <f>IF(B222="","",F222*G222)</f>
        <v/>
      </c>
      <c r="I222" s="10">
        <f>IF(B222="","",F222+H222)</f>
        <v/>
      </c>
      <c r="J222" s="9" t="n"/>
      <c r="K222" s="12" t="n"/>
      <c r="L222" s="9">
        <f>IF(B222="","",IF(AND(J222&lt;&gt;"Paid",TODAY()&gt;D222),TODAY()-D222,0))</f>
        <v/>
      </c>
      <c r="M222" s="9">
        <f>IF(C222="","",MONTH(C222))</f>
        <v/>
      </c>
      <c r="N222" s="9">
        <f>IF(C222="","",YEAR(C222))</f>
        <v/>
      </c>
    </row>
    <row r="223">
      <c r="A223" s="9">
        <f>IF(B223="","",InvoicePrefix&amp;TEXT(StartNumber+ROW()-2,"0000"))</f>
        <v/>
      </c>
      <c r="B223" s="9" t="n"/>
      <c r="C223" s="12" t="n"/>
      <c r="D223" s="12" t="n"/>
      <c r="E223" s="9" t="n"/>
      <c r="F223" s="10" t="n"/>
      <c r="G223" s="13">
        <f>TaxRate</f>
        <v/>
      </c>
      <c r="H223" s="10">
        <f>IF(B223="","",F223*G223)</f>
        <v/>
      </c>
      <c r="I223" s="10">
        <f>IF(B223="","",F223+H223)</f>
        <v/>
      </c>
      <c r="J223" s="9" t="n"/>
      <c r="K223" s="12" t="n"/>
      <c r="L223" s="9">
        <f>IF(B223="","",IF(AND(J223&lt;&gt;"Paid",TODAY()&gt;D223),TODAY()-D223,0))</f>
        <v/>
      </c>
      <c r="M223" s="9">
        <f>IF(C223="","",MONTH(C223))</f>
        <v/>
      </c>
      <c r="N223" s="9">
        <f>IF(C223="","",YEAR(C223))</f>
        <v/>
      </c>
    </row>
    <row r="224">
      <c r="A224" s="9">
        <f>IF(B224="","",InvoicePrefix&amp;TEXT(StartNumber+ROW()-2,"0000"))</f>
        <v/>
      </c>
      <c r="B224" s="9" t="n"/>
      <c r="C224" s="12" t="n"/>
      <c r="D224" s="12" t="n"/>
      <c r="E224" s="9" t="n"/>
      <c r="F224" s="10" t="n"/>
      <c r="G224" s="13">
        <f>TaxRate</f>
        <v/>
      </c>
      <c r="H224" s="10">
        <f>IF(B224="","",F224*G224)</f>
        <v/>
      </c>
      <c r="I224" s="10">
        <f>IF(B224="","",F224+H224)</f>
        <v/>
      </c>
      <c r="J224" s="9" t="n"/>
      <c r="K224" s="12" t="n"/>
      <c r="L224" s="9">
        <f>IF(B224="","",IF(AND(J224&lt;&gt;"Paid",TODAY()&gt;D224),TODAY()-D224,0))</f>
        <v/>
      </c>
      <c r="M224" s="9">
        <f>IF(C224="","",MONTH(C224))</f>
        <v/>
      </c>
      <c r="N224" s="9">
        <f>IF(C224="","",YEAR(C224))</f>
        <v/>
      </c>
    </row>
    <row r="225">
      <c r="A225" s="9">
        <f>IF(B225="","",InvoicePrefix&amp;TEXT(StartNumber+ROW()-2,"0000"))</f>
        <v/>
      </c>
      <c r="B225" s="9" t="n"/>
      <c r="C225" s="12" t="n"/>
      <c r="D225" s="12" t="n"/>
      <c r="E225" s="9" t="n"/>
      <c r="F225" s="10" t="n"/>
      <c r="G225" s="13">
        <f>TaxRate</f>
        <v/>
      </c>
      <c r="H225" s="10">
        <f>IF(B225="","",F225*G225)</f>
        <v/>
      </c>
      <c r="I225" s="10">
        <f>IF(B225="","",F225+H225)</f>
        <v/>
      </c>
      <c r="J225" s="9" t="n"/>
      <c r="K225" s="12" t="n"/>
      <c r="L225" s="9">
        <f>IF(B225="","",IF(AND(J225&lt;&gt;"Paid",TODAY()&gt;D225),TODAY()-D225,0))</f>
        <v/>
      </c>
      <c r="M225" s="9">
        <f>IF(C225="","",MONTH(C225))</f>
        <v/>
      </c>
      <c r="N225" s="9">
        <f>IF(C225="","",YEAR(C225))</f>
        <v/>
      </c>
    </row>
    <row r="226">
      <c r="A226" s="9">
        <f>IF(B226="","",InvoicePrefix&amp;TEXT(StartNumber+ROW()-2,"0000"))</f>
        <v/>
      </c>
      <c r="B226" s="9" t="n"/>
      <c r="C226" s="12" t="n"/>
      <c r="D226" s="12" t="n"/>
      <c r="E226" s="9" t="n"/>
      <c r="F226" s="10" t="n"/>
      <c r="G226" s="13">
        <f>TaxRate</f>
        <v/>
      </c>
      <c r="H226" s="10">
        <f>IF(B226="","",F226*G226)</f>
        <v/>
      </c>
      <c r="I226" s="10">
        <f>IF(B226="","",F226+H226)</f>
        <v/>
      </c>
      <c r="J226" s="9" t="n"/>
      <c r="K226" s="12" t="n"/>
      <c r="L226" s="9">
        <f>IF(B226="","",IF(AND(J226&lt;&gt;"Paid",TODAY()&gt;D226),TODAY()-D226,0))</f>
        <v/>
      </c>
      <c r="M226" s="9">
        <f>IF(C226="","",MONTH(C226))</f>
        <v/>
      </c>
      <c r="N226" s="9">
        <f>IF(C226="","",YEAR(C226))</f>
        <v/>
      </c>
    </row>
    <row r="227">
      <c r="A227" s="9">
        <f>IF(B227="","",InvoicePrefix&amp;TEXT(StartNumber+ROW()-2,"0000"))</f>
        <v/>
      </c>
      <c r="B227" s="9" t="n"/>
      <c r="C227" s="12" t="n"/>
      <c r="D227" s="12" t="n"/>
      <c r="E227" s="9" t="n"/>
      <c r="F227" s="10" t="n"/>
      <c r="G227" s="13">
        <f>TaxRate</f>
        <v/>
      </c>
      <c r="H227" s="10">
        <f>IF(B227="","",F227*G227)</f>
        <v/>
      </c>
      <c r="I227" s="10">
        <f>IF(B227="","",F227+H227)</f>
        <v/>
      </c>
      <c r="J227" s="9" t="n"/>
      <c r="K227" s="12" t="n"/>
      <c r="L227" s="9">
        <f>IF(B227="","",IF(AND(J227&lt;&gt;"Paid",TODAY()&gt;D227),TODAY()-D227,0))</f>
        <v/>
      </c>
      <c r="M227" s="9">
        <f>IF(C227="","",MONTH(C227))</f>
        <v/>
      </c>
      <c r="N227" s="9">
        <f>IF(C227="","",YEAR(C227))</f>
        <v/>
      </c>
    </row>
    <row r="228">
      <c r="A228" s="9">
        <f>IF(B228="","",InvoicePrefix&amp;TEXT(StartNumber+ROW()-2,"0000"))</f>
        <v/>
      </c>
      <c r="B228" s="9" t="n"/>
      <c r="C228" s="12" t="n"/>
      <c r="D228" s="12" t="n"/>
      <c r="E228" s="9" t="n"/>
      <c r="F228" s="10" t="n"/>
      <c r="G228" s="13">
        <f>TaxRate</f>
        <v/>
      </c>
      <c r="H228" s="10">
        <f>IF(B228="","",F228*G228)</f>
        <v/>
      </c>
      <c r="I228" s="10">
        <f>IF(B228="","",F228+H228)</f>
        <v/>
      </c>
      <c r="J228" s="9" t="n"/>
      <c r="K228" s="12" t="n"/>
      <c r="L228" s="9">
        <f>IF(B228="","",IF(AND(J228&lt;&gt;"Paid",TODAY()&gt;D228),TODAY()-D228,0))</f>
        <v/>
      </c>
      <c r="M228" s="9">
        <f>IF(C228="","",MONTH(C228))</f>
        <v/>
      </c>
      <c r="N228" s="9">
        <f>IF(C228="","",YEAR(C228))</f>
        <v/>
      </c>
    </row>
    <row r="229">
      <c r="A229" s="9">
        <f>IF(B229="","",InvoicePrefix&amp;TEXT(StartNumber+ROW()-2,"0000"))</f>
        <v/>
      </c>
      <c r="B229" s="9" t="n"/>
      <c r="C229" s="12" t="n"/>
      <c r="D229" s="12" t="n"/>
      <c r="E229" s="9" t="n"/>
      <c r="F229" s="10" t="n"/>
      <c r="G229" s="13">
        <f>TaxRate</f>
        <v/>
      </c>
      <c r="H229" s="10">
        <f>IF(B229="","",F229*G229)</f>
        <v/>
      </c>
      <c r="I229" s="10">
        <f>IF(B229="","",F229+H229)</f>
        <v/>
      </c>
      <c r="J229" s="9" t="n"/>
      <c r="K229" s="12" t="n"/>
      <c r="L229" s="9">
        <f>IF(B229="","",IF(AND(J229&lt;&gt;"Paid",TODAY()&gt;D229),TODAY()-D229,0))</f>
        <v/>
      </c>
      <c r="M229" s="9">
        <f>IF(C229="","",MONTH(C229))</f>
        <v/>
      </c>
      <c r="N229" s="9">
        <f>IF(C229="","",YEAR(C229))</f>
        <v/>
      </c>
    </row>
    <row r="230">
      <c r="A230" s="9">
        <f>IF(B230="","",InvoicePrefix&amp;TEXT(StartNumber+ROW()-2,"0000"))</f>
        <v/>
      </c>
      <c r="B230" s="9" t="n"/>
      <c r="C230" s="12" t="n"/>
      <c r="D230" s="12" t="n"/>
      <c r="E230" s="9" t="n"/>
      <c r="F230" s="10" t="n"/>
      <c r="G230" s="13">
        <f>TaxRate</f>
        <v/>
      </c>
      <c r="H230" s="10">
        <f>IF(B230="","",F230*G230)</f>
        <v/>
      </c>
      <c r="I230" s="10">
        <f>IF(B230="","",F230+H230)</f>
        <v/>
      </c>
      <c r="J230" s="9" t="n"/>
      <c r="K230" s="12" t="n"/>
      <c r="L230" s="9">
        <f>IF(B230="","",IF(AND(J230&lt;&gt;"Paid",TODAY()&gt;D230),TODAY()-D230,0))</f>
        <v/>
      </c>
      <c r="M230" s="9">
        <f>IF(C230="","",MONTH(C230))</f>
        <v/>
      </c>
      <c r="N230" s="9">
        <f>IF(C230="","",YEAR(C230))</f>
        <v/>
      </c>
    </row>
    <row r="231">
      <c r="A231" s="9">
        <f>IF(B231="","",InvoicePrefix&amp;TEXT(StartNumber+ROW()-2,"0000"))</f>
        <v/>
      </c>
      <c r="B231" s="9" t="n"/>
      <c r="C231" s="12" t="n"/>
      <c r="D231" s="12" t="n"/>
      <c r="E231" s="9" t="n"/>
      <c r="F231" s="10" t="n"/>
      <c r="G231" s="13">
        <f>TaxRate</f>
        <v/>
      </c>
      <c r="H231" s="10">
        <f>IF(B231="","",F231*G231)</f>
        <v/>
      </c>
      <c r="I231" s="10">
        <f>IF(B231="","",F231+H231)</f>
        <v/>
      </c>
      <c r="J231" s="9" t="n"/>
      <c r="K231" s="12" t="n"/>
      <c r="L231" s="9">
        <f>IF(B231="","",IF(AND(J231&lt;&gt;"Paid",TODAY()&gt;D231),TODAY()-D231,0))</f>
        <v/>
      </c>
      <c r="M231" s="9">
        <f>IF(C231="","",MONTH(C231))</f>
        <v/>
      </c>
      <c r="N231" s="9">
        <f>IF(C231="","",YEAR(C231))</f>
        <v/>
      </c>
    </row>
    <row r="232">
      <c r="A232" s="9">
        <f>IF(B232="","",InvoicePrefix&amp;TEXT(StartNumber+ROW()-2,"0000"))</f>
        <v/>
      </c>
      <c r="B232" s="9" t="n"/>
      <c r="C232" s="12" t="n"/>
      <c r="D232" s="12" t="n"/>
      <c r="E232" s="9" t="n"/>
      <c r="F232" s="10" t="n"/>
      <c r="G232" s="13">
        <f>TaxRate</f>
        <v/>
      </c>
      <c r="H232" s="10">
        <f>IF(B232="","",F232*G232)</f>
        <v/>
      </c>
      <c r="I232" s="10">
        <f>IF(B232="","",F232+H232)</f>
        <v/>
      </c>
      <c r="J232" s="9" t="n"/>
      <c r="K232" s="12" t="n"/>
      <c r="L232" s="9">
        <f>IF(B232="","",IF(AND(J232&lt;&gt;"Paid",TODAY()&gt;D232),TODAY()-D232,0))</f>
        <v/>
      </c>
      <c r="M232" s="9">
        <f>IF(C232="","",MONTH(C232))</f>
        <v/>
      </c>
      <c r="N232" s="9">
        <f>IF(C232="","",YEAR(C232))</f>
        <v/>
      </c>
    </row>
    <row r="233">
      <c r="A233" s="9">
        <f>IF(B233="","",InvoicePrefix&amp;TEXT(StartNumber+ROW()-2,"0000"))</f>
        <v/>
      </c>
      <c r="B233" s="9" t="n"/>
      <c r="C233" s="12" t="n"/>
      <c r="D233" s="12" t="n"/>
      <c r="E233" s="9" t="n"/>
      <c r="F233" s="10" t="n"/>
      <c r="G233" s="13">
        <f>TaxRate</f>
        <v/>
      </c>
      <c r="H233" s="10">
        <f>IF(B233="","",F233*G233)</f>
        <v/>
      </c>
      <c r="I233" s="10">
        <f>IF(B233="","",F233+H233)</f>
        <v/>
      </c>
      <c r="J233" s="9" t="n"/>
      <c r="K233" s="12" t="n"/>
      <c r="L233" s="9">
        <f>IF(B233="","",IF(AND(J233&lt;&gt;"Paid",TODAY()&gt;D233),TODAY()-D233,0))</f>
        <v/>
      </c>
      <c r="M233" s="9">
        <f>IF(C233="","",MONTH(C233))</f>
        <v/>
      </c>
      <c r="N233" s="9">
        <f>IF(C233="","",YEAR(C233))</f>
        <v/>
      </c>
    </row>
    <row r="234">
      <c r="A234" s="9">
        <f>IF(B234="","",InvoicePrefix&amp;TEXT(StartNumber+ROW()-2,"0000"))</f>
        <v/>
      </c>
      <c r="B234" s="9" t="n"/>
      <c r="C234" s="12" t="n"/>
      <c r="D234" s="12" t="n"/>
      <c r="E234" s="9" t="n"/>
      <c r="F234" s="10" t="n"/>
      <c r="G234" s="13">
        <f>TaxRate</f>
        <v/>
      </c>
      <c r="H234" s="10">
        <f>IF(B234="","",F234*G234)</f>
        <v/>
      </c>
      <c r="I234" s="10">
        <f>IF(B234="","",F234+H234)</f>
        <v/>
      </c>
      <c r="J234" s="9" t="n"/>
      <c r="K234" s="12" t="n"/>
      <c r="L234" s="9">
        <f>IF(B234="","",IF(AND(J234&lt;&gt;"Paid",TODAY()&gt;D234),TODAY()-D234,0))</f>
        <v/>
      </c>
      <c r="M234" s="9">
        <f>IF(C234="","",MONTH(C234))</f>
        <v/>
      </c>
      <c r="N234" s="9">
        <f>IF(C234="","",YEAR(C234))</f>
        <v/>
      </c>
    </row>
    <row r="235">
      <c r="A235" s="9">
        <f>IF(B235="","",InvoicePrefix&amp;TEXT(StartNumber+ROW()-2,"0000"))</f>
        <v/>
      </c>
      <c r="B235" s="9" t="n"/>
      <c r="C235" s="12" t="n"/>
      <c r="D235" s="12" t="n"/>
      <c r="E235" s="9" t="n"/>
      <c r="F235" s="10" t="n"/>
      <c r="G235" s="13">
        <f>TaxRate</f>
        <v/>
      </c>
      <c r="H235" s="10">
        <f>IF(B235="","",F235*G235)</f>
        <v/>
      </c>
      <c r="I235" s="10">
        <f>IF(B235="","",F235+H235)</f>
        <v/>
      </c>
      <c r="J235" s="9" t="n"/>
      <c r="K235" s="12" t="n"/>
      <c r="L235" s="9">
        <f>IF(B235="","",IF(AND(J235&lt;&gt;"Paid",TODAY()&gt;D235),TODAY()-D235,0))</f>
        <v/>
      </c>
      <c r="M235" s="9">
        <f>IF(C235="","",MONTH(C235))</f>
        <v/>
      </c>
      <c r="N235" s="9">
        <f>IF(C235="","",YEAR(C235))</f>
        <v/>
      </c>
    </row>
    <row r="236">
      <c r="A236" s="9">
        <f>IF(B236="","",InvoicePrefix&amp;TEXT(StartNumber+ROW()-2,"0000"))</f>
        <v/>
      </c>
      <c r="B236" s="9" t="n"/>
      <c r="C236" s="12" t="n"/>
      <c r="D236" s="12" t="n"/>
      <c r="E236" s="9" t="n"/>
      <c r="F236" s="10" t="n"/>
      <c r="G236" s="13">
        <f>TaxRate</f>
        <v/>
      </c>
      <c r="H236" s="10">
        <f>IF(B236="","",F236*G236)</f>
        <v/>
      </c>
      <c r="I236" s="10">
        <f>IF(B236="","",F236+H236)</f>
        <v/>
      </c>
      <c r="J236" s="9" t="n"/>
      <c r="K236" s="12" t="n"/>
      <c r="L236" s="9">
        <f>IF(B236="","",IF(AND(J236&lt;&gt;"Paid",TODAY()&gt;D236),TODAY()-D236,0))</f>
        <v/>
      </c>
      <c r="M236" s="9">
        <f>IF(C236="","",MONTH(C236))</f>
        <v/>
      </c>
      <c r="N236" s="9">
        <f>IF(C236="","",YEAR(C236))</f>
        <v/>
      </c>
    </row>
    <row r="237">
      <c r="A237" s="9">
        <f>IF(B237="","",InvoicePrefix&amp;TEXT(StartNumber+ROW()-2,"0000"))</f>
        <v/>
      </c>
      <c r="B237" s="9" t="n"/>
      <c r="C237" s="12" t="n"/>
      <c r="D237" s="12" t="n"/>
      <c r="E237" s="9" t="n"/>
      <c r="F237" s="10" t="n"/>
      <c r="G237" s="13">
        <f>TaxRate</f>
        <v/>
      </c>
      <c r="H237" s="10">
        <f>IF(B237="","",F237*G237)</f>
        <v/>
      </c>
      <c r="I237" s="10">
        <f>IF(B237="","",F237+H237)</f>
        <v/>
      </c>
      <c r="J237" s="9" t="n"/>
      <c r="K237" s="12" t="n"/>
      <c r="L237" s="9">
        <f>IF(B237="","",IF(AND(J237&lt;&gt;"Paid",TODAY()&gt;D237),TODAY()-D237,0))</f>
        <v/>
      </c>
      <c r="M237" s="9">
        <f>IF(C237="","",MONTH(C237))</f>
        <v/>
      </c>
      <c r="N237" s="9">
        <f>IF(C237="","",YEAR(C237))</f>
        <v/>
      </c>
    </row>
    <row r="238">
      <c r="A238" s="9">
        <f>IF(B238="","",InvoicePrefix&amp;TEXT(StartNumber+ROW()-2,"0000"))</f>
        <v/>
      </c>
      <c r="B238" s="9" t="n"/>
      <c r="C238" s="12" t="n"/>
      <c r="D238" s="12" t="n"/>
      <c r="E238" s="9" t="n"/>
      <c r="F238" s="10" t="n"/>
      <c r="G238" s="13">
        <f>TaxRate</f>
        <v/>
      </c>
      <c r="H238" s="10">
        <f>IF(B238="","",F238*G238)</f>
        <v/>
      </c>
      <c r="I238" s="10">
        <f>IF(B238="","",F238+H238)</f>
        <v/>
      </c>
      <c r="J238" s="9" t="n"/>
      <c r="K238" s="12" t="n"/>
      <c r="L238" s="9">
        <f>IF(B238="","",IF(AND(J238&lt;&gt;"Paid",TODAY()&gt;D238),TODAY()-D238,0))</f>
        <v/>
      </c>
      <c r="M238" s="9">
        <f>IF(C238="","",MONTH(C238))</f>
        <v/>
      </c>
      <c r="N238" s="9">
        <f>IF(C238="","",YEAR(C238))</f>
        <v/>
      </c>
    </row>
    <row r="239">
      <c r="A239" s="9">
        <f>IF(B239="","",InvoicePrefix&amp;TEXT(StartNumber+ROW()-2,"0000"))</f>
        <v/>
      </c>
      <c r="B239" s="9" t="n"/>
      <c r="C239" s="12" t="n"/>
      <c r="D239" s="12" t="n"/>
      <c r="E239" s="9" t="n"/>
      <c r="F239" s="10" t="n"/>
      <c r="G239" s="13">
        <f>TaxRate</f>
        <v/>
      </c>
      <c r="H239" s="10">
        <f>IF(B239="","",F239*G239)</f>
        <v/>
      </c>
      <c r="I239" s="10">
        <f>IF(B239="","",F239+H239)</f>
        <v/>
      </c>
      <c r="J239" s="9" t="n"/>
      <c r="K239" s="12" t="n"/>
      <c r="L239" s="9">
        <f>IF(B239="","",IF(AND(J239&lt;&gt;"Paid",TODAY()&gt;D239),TODAY()-D239,0))</f>
        <v/>
      </c>
      <c r="M239" s="9">
        <f>IF(C239="","",MONTH(C239))</f>
        <v/>
      </c>
      <c r="N239" s="9">
        <f>IF(C239="","",YEAR(C239))</f>
        <v/>
      </c>
    </row>
    <row r="240">
      <c r="A240" s="9">
        <f>IF(B240="","",InvoicePrefix&amp;TEXT(StartNumber+ROW()-2,"0000"))</f>
        <v/>
      </c>
      <c r="B240" s="9" t="n"/>
      <c r="C240" s="12" t="n"/>
      <c r="D240" s="12" t="n"/>
      <c r="E240" s="9" t="n"/>
      <c r="F240" s="10" t="n"/>
      <c r="G240" s="13">
        <f>TaxRate</f>
        <v/>
      </c>
      <c r="H240" s="10">
        <f>IF(B240="","",F240*G240)</f>
        <v/>
      </c>
      <c r="I240" s="10">
        <f>IF(B240="","",F240+H240)</f>
        <v/>
      </c>
      <c r="J240" s="9" t="n"/>
      <c r="K240" s="12" t="n"/>
      <c r="L240" s="9">
        <f>IF(B240="","",IF(AND(J240&lt;&gt;"Paid",TODAY()&gt;D240),TODAY()-D240,0))</f>
        <v/>
      </c>
      <c r="M240" s="9">
        <f>IF(C240="","",MONTH(C240))</f>
        <v/>
      </c>
      <c r="N240" s="9">
        <f>IF(C240="","",YEAR(C240))</f>
        <v/>
      </c>
    </row>
    <row r="241">
      <c r="A241" s="9">
        <f>IF(B241="","",InvoicePrefix&amp;TEXT(StartNumber+ROW()-2,"0000"))</f>
        <v/>
      </c>
      <c r="B241" s="9" t="n"/>
      <c r="C241" s="12" t="n"/>
      <c r="D241" s="12" t="n"/>
      <c r="E241" s="9" t="n"/>
      <c r="F241" s="10" t="n"/>
      <c r="G241" s="13">
        <f>TaxRate</f>
        <v/>
      </c>
      <c r="H241" s="10">
        <f>IF(B241="","",F241*G241)</f>
        <v/>
      </c>
      <c r="I241" s="10">
        <f>IF(B241="","",F241+H241)</f>
        <v/>
      </c>
      <c r="J241" s="9" t="n"/>
      <c r="K241" s="12" t="n"/>
      <c r="L241" s="9">
        <f>IF(B241="","",IF(AND(J241&lt;&gt;"Paid",TODAY()&gt;D241),TODAY()-D241,0))</f>
        <v/>
      </c>
      <c r="M241" s="9">
        <f>IF(C241="","",MONTH(C241))</f>
        <v/>
      </c>
      <c r="N241" s="9">
        <f>IF(C241="","",YEAR(C241))</f>
        <v/>
      </c>
    </row>
    <row r="242">
      <c r="A242" s="9">
        <f>IF(B242="","",InvoicePrefix&amp;TEXT(StartNumber+ROW()-2,"0000"))</f>
        <v/>
      </c>
      <c r="B242" s="9" t="n"/>
      <c r="C242" s="12" t="n"/>
      <c r="D242" s="12" t="n"/>
      <c r="E242" s="9" t="n"/>
      <c r="F242" s="10" t="n"/>
      <c r="G242" s="13">
        <f>TaxRate</f>
        <v/>
      </c>
      <c r="H242" s="10">
        <f>IF(B242="","",F242*G242)</f>
        <v/>
      </c>
      <c r="I242" s="10">
        <f>IF(B242="","",F242+H242)</f>
        <v/>
      </c>
      <c r="J242" s="9" t="n"/>
      <c r="K242" s="12" t="n"/>
      <c r="L242" s="9">
        <f>IF(B242="","",IF(AND(J242&lt;&gt;"Paid",TODAY()&gt;D242),TODAY()-D242,0))</f>
        <v/>
      </c>
      <c r="M242" s="9">
        <f>IF(C242="","",MONTH(C242))</f>
        <v/>
      </c>
      <c r="N242" s="9">
        <f>IF(C242="","",YEAR(C242))</f>
        <v/>
      </c>
    </row>
    <row r="243">
      <c r="A243" s="9">
        <f>IF(B243="","",InvoicePrefix&amp;TEXT(StartNumber+ROW()-2,"0000"))</f>
        <v/>
      </c>
      <c r="B243" s="9" t="n"/>
      <c r="C243" s="12" t="n"/>
      <c r="D243" s="12" t="n"/>
      <c r="E243" s="9" t="n"/>
      <c r="F243" s="10" t="n"/>
      <c r="G243" s="13">
        <f>TaxRate</f>
        <v/>
      </c>
      <c r="H243" s="10">
        <f>IF(B243="","",F243*G243)</f>
        <v/>
      </c>
      <c r="I243" s="10">
        <f>IF(B243="","",F243+H243)</f>
        <v/>
      </c>
      <c r="J243" s="9" t="n"/>
      <c r="K243" s="12" t="n"/>
      <c r="L243" s="9">
        <f>IF(B243="","",IF(AND(J243&lt;&gt;"Paid",TODAY()&gt;D243),TODAY()-D243,0))</f>
        <v/>
      </c>
      <c r="M243" s="9">
        <f>IF(C243="","",MONTH(C243))</f>
        <v/>
      </c>
      <c r="N243" s="9">
        <f>IF(C243="","",YEAR(C243))</f>
        <v/>
      </c>
    </row>
    <row r="244">
      <c r="A244" s="9">
        <f>IF(B244="","",InvoicePrefix&amp;TEXT(StartNumber+ROW()-2,"0000"))</f>
        <v/>
      </c>
      <c r="B244" s="9" t="n"/>
      <c r="C244" s="12" t="n"/>
      <c r="D244" s="12" t="n"/>
      <c r="E244" s="9" t="n"/>
      <c r="F244" s="10" t="n"/>
      <c r="G244" s="13">
        <f>TaxRate</f>
        <v/>
      </c>
      <c r="H244" s="10">
        <f>IF(B244="","",F244*G244)</f>
        <v/>
      </c>
      <c r="I244" s="10">
        <f>IF(B244="","",F244+H244)</f>
        <v/>
      </c>
      <c r="J244" s="9" t="n"/>
      <c r="K244" s="12" t="n"/>
      <c r="L244" s="9">
        <f>IF(B244="","",IF(AND(J244&lt;&gt;"Paid",TODAY()&gt;D244),TODAY()-D244,0))</f>
        <v/>
      </c>
      <c r="M244" s="9">
        <f>IF(C244="","",MONTH(C244))</f>
        <v/>
      </c>
      <c r="N244" s="9">
        <f>IF(C244="","",YEAR(C244))</f>
        <v/>
      </c>
    </row>
    <row r="245">
      <c r="A245" s="9">
        <f>IF(B245="","",InvoicePrefix&amp;TEXT(StartNumber+ROW()-2,"0000"))</f>
        <v/>
      </c>
      <c r="B245" s="9" t="n"/>
      <c r="C245" s="12" t="n"/>
      <c r="D245" s="12" t="n"/>
      <c r="E245" s="9" t="n"/>
      <c r="F245" s="10" t="n"/>
      <c r="G245" s="13">
        <f>TaxRate</f>
        <v/>
      </c>
      <c r="H245" s="10">
        <f>IF(B245="","",F245*G245)</f>
        <v/>
      </c>
      <c r="I245" s="10">
        <f>IF(B245="","",F245+H245)</f>
        <v/>
      </c>
      <c r="J245" s="9" t="n"/>
      <c r="K245" s="12" t="n"/>
      <c r="L245" s="9">
        <f>IF(B245="","",IF(AND(J245&lt;&gt;"Paid",TODAY()&gt;D245),TODAY()-D245,0))</f>
        <v/>
      </c>
      <c r="M245" s="9">
        <f>IF(C245="","",MONTH(C245))</f>
        <v/>
      </c>
      <c r="N245" s="9">
        <f>IF(C245="","",YEAR(C245))</f>
        <v/>
      </c>
    </row>
    <row r="246">
      <c r="A246" s="9">
        <f>IF(B246="","",InvoicePrefix&amp;TEXT(StartNumber+ROW()-2,"0000"))</f>
        <v/>
      </c>
      <c r="B246" s="9" t="n"/>
      <c r="C246" s="12" t="n"/>
      <c r="D246" s="12" t="n"/>
      <c r="E246" s="9" t="n"/>
      <c r="F246" s="10" t="n"/>
      <c r="G246" s="13">
        <f>TaxRate</f>
        <v/>
      </c>
      <c r="H246" s="10">
        <f>IF(B246="","",F246*G246)</f>
        <v/>
      </c>
      <c r="I246" s="10">
        <f>IF(B246="","",F246+H246)</f>
        <v/>
      </c>
      <c r="J246" s="9" t="n"/>
      <c r="K246" s="12" t="n"/>
      <c r="L246" s="9">
        <f>IF(B246="","",IF(AND(J246&lt;&gt;"Paid",TODAY()&gt;D246),TODAY()-D246,0))</f>
        <v/>
      </c>
      <c r="M246" s="9">
        <f>IF(C246="","",MONTH(C246))</f>
        <v/>
      </c>
      <c r="N246" s="9">
        <f>IF(C246="","",YEAR(C246))</f>
        <v/>
      </c>
    </row>
    <row r="247">
      <c r="A247" s="9">
        <f>IF(B247="","",InvoicePrefix&amp;TEXT(StartNumber+ROW()-2,"0000"))</f>
        <v/>
      </c>
      <c r="B247" s="9" t="n"/>
      <c r="C247" s="12" t="n"/>
      <c r="D247" s="12" t="n"/>
      <c r="E247" s="9" t="n"/>
      <c r="F247" s="10" t="n"/>
      <c r="G247" s="13">
        <f>TaxRate</f>
        <v/>
      </c>
      <c r="H247" s="10">
        <f>IF(B247="","",F247*G247)</f>
        <v/>
      </c>
      <c r="I247" s="10">
        <f>IF(B247="","",F247+H247)</f>
        <v/>
      </c>
      <c r="J247" s="9" t="n"/>
      <c r="K247" s="12" t="n"/>
      <c r="L247" s="9">
        <f>IF(B247="","",IF(AND(J247&lt;&gt;"Paid",TODAY()&gt;D247),TODAY()-D247,0))</f>
        <v/>
      </c>
      <c r="M247" s="9">
        <f>IF(C247="","",MONTH(C247))</f>
        <v/>
      </c>
      <c r="N247" s="9">
        <f>IF(C247="","",YEAR(C247))</f>
        <v/>
      </c>
    </row>
    <row r="248">
      <c r="A248" s="9">
        <f>IF(B248="","",InvoicePrefix&amp;TEXT(StartNumber+ROW()-2,"0000"))</f>
        <v/>
      </c>
      <c r="B248" s="9" t="n"/>
      <c r="C248" s="12" t="n"/>
      <c r="D248" s="12" t="n"/>
      <c r="E248" s="9" t="n"/>
      <c r="F248" s="10" t="n"/>
      <c r="G248" s="13">
        <f>TaxRate</f>
        <v/>
      </c>
      <c r="H248" s="10">
        <f>IF(B248="","",F248*G248)</f>
        <v/>
      </c>
      <c r="I248" s="10">
        <f>IF(B248="","",F248+H248)</f>
        <v/>
      </c>
      <c r="J248" s="9" t="n"/>
      <c r="K248" s="12" t="n"/>
      <c r="L248" s="9">
        <f>IF(B248="","",IF(AND(J248&lt;&gt;"Paid",TODAY()&gt;D248),TODAY()-D248,0))</f>
        <v/>
      </c>
      <c r="M248" s="9">
        <f>IF(C248="","",MONTH(C248))</f>
        <v/>
      </c>
      <c r="N248" s="9">
        <f>IF(C248="","",YEAR(C248))</f>
        <v/>
      </c>
    </row>
    <row r="249">
      <c r="A249" s="9">
        <f>IF(B249="","",InvoicePrefix&amp;TEXT(StartNumber+ROW()-2,"0000"))</f>
        <v/>
      </c>
      <c r="B249" s="9" t="n"/>
      <c r="C249" s="12" t="n"/>
      <c r="D249" s="12" t="n"/>
      <c r="E249" s="9" t="n"/>
      <c r="F249" s="10" t="n"/>
      <c r="G249" s="13">
        <f>TaxRate</f>
        <v/>
      </c>
      <c r="H249" s="10">
        <f>IF(B249="","",F249*G249)</f>
        <v/>
      </c>
      <c r="I249" s="10">
        <f>IF(B249="","",F249+H249)</f>
        <v/>
      </c>
      <c r="J249" s="9" t="n"/>
      <c r="K249" s="12" t="n"/>
      <c r="L249" s="9">
        <f>IF(B249="","",IF(AND(J249&lt;&gt;"Paid",TODAY()&gt;D249),TODAY()-D249,0))</f>
        <v/>
      </c>
      <c r="M249" s="9">
        <f>IF(C249="","",MONTH(C249))</f>
        <v/>
      </c>
      <c r="N249" s="9">
        <f>IF(C249="","",YEAR(C249))</f>
        <v/>
      </c>
    </row>
    <row r="250">
      <c r="A250" s="9">
        <f>IF(B250="","",InvoicePrefix&amp;TEXT(StartNumber+ROW()-2,"0000"))</f>
        <v/>
      </c>
      <c r="B250" s="9" t="n"/>
      <c r="C250" s="12" t="n"/>
      <c r="D250" s="12" t="n"/>
      <c r="E250" s="9" t="n"/>
      <c r="F250" s="10" t="n"/>
      <c r="G250" s="13">
        <f>TaxRate</f>
        <v/>
      </c>
      <c r="H250" s="10">
        <f>IF(B250="","",F250*G250)</f>
        <v/>
      </c>
      <c r="I250" s="10">
        <f>IF(B250="","",F250+H250)</f>
        <v/>
      </c>
      <c r="J250" s="9" t="n"/>
      <c r="K250" s="12" t="n"/>
      <c r="L250" s="9">
        <f>IF(B250="","",IF(AND(J250&lt;&gt;"Paid",TODAY()&gt;D250),TODAY()-D250,0))</f>
        <v/>
      </c>
      <c r="M250" s="9">
        <f>IF(C250="","",MONTH(C250))</f>
        <v/>
      </c>
      <c r="N250" s="9">
        <f>IF(C250="","",YEAR(C250))</f>
        <v/>
      </c>
    </row>
    <row r="251">
      <c r="A251" s="9">
        <f>IF(B251="","",InvoicePrefix&amp;TEXT(StartNumber+ROW()-2,"0000"))</f>
        <v/>
      </c>
      <c r="B251" s="9" t="n"/>
      <c r="C251" s="12" t="n"/>
      <c r="D251" s="12" t="n"/>
      <c r="E251" s="9" t="n"/>
      <c r="F251" s="10" t="n"/>
      <c r="G251" s="13">
        <f>TaxRate</f>
        <v/>
      </c>
      <c r="H251" s="10">
        <f>IF(B251="","",F251*G251)</f>
        <v/>
      </c>
      <c r="I251" s="10">
        <f>IF(B251="","",F251+H251)</f>
        <v/>
      </c>
      <c r="J251" s="9" t="n"/>
      <c r="K251" s="12" t="n"/>
      <c r="L251" s="9">
        <f>IF(B251="","",IF(AND(J251&lt;&gt;"Paid",TODAY()&gt;D251),TODAY()-D251,0))</f>
        <v/>
      </c>
      <c r="M251" s="9">
        <f>IF(C251="","",MONTH(C251))</f>
        <v/>
      </c>
      <c r="N251" s="9">
        <f>IF(C251="","",YEAR(C251))</f>
        <v/>
      </c>
    </row>
    <row r="252">
      <c r="A252" s="9">
        <f>IF(B252="","",InvoicePrefix&amp;TEXT(StartNumber+ROW()-2,"0000"))</f>
        <v/>
      </c>
      <c r="B252" s="9" t="n"/>
      <c r="C252" s="12" t="n"/>
      <c r="D252" s="12" t="n"/>
      <c r="E252" s="9" t="n"/>
      <c r="F252" s="10" t="n"/>
      <c r="G252" s="13">
        <f>TaxRate</f>
        <v/>
      </c>
      <c r="H252" s="10">
        <f>IF(B252="","",F252*G252)</f>
        <v/>
      </c>
      <c r="I252" s="10">
        <f>IF(B252="","",F252+H252)</f>
        <v/>
      </c>
      <c r="J252" s="9" t="n"/>
      <c r="K252" s="12" t="n"/>
      <c r="L252" s="9">
        <f>IF(B252="","",IF(AND(J252&lt;&gt;"Paid",TODAY()&gt;D252),TODAY()-D252,0))</f>
        <v/>
      </c>
      <c r="M252" s="9">
        <f>IF(C252="","",MONTH(C252))</f>
        <v/>
      </c>
      <c r="N252" s="9">
        <f>IF(C252="","",YEAR(C252))</f>
        <v/>
      </c>
    </row>
    <row r="253">
      <c r="A253" s="9">
        <f>IF(B253="","",InvoicePrefix&amp;TEXT(StartNumber+ROW()-2,"0000"))</f>
        <v/>
      </c>
      <c r="B253" s="9" t="n"/>
      <c r="C253" s="12" t="n"/>
      <c r="D253" s="12" t="n"/>
      <c r="E253" s="9" t="n"/>
      <c r="F253" s="10" t="n"/>
      <c r="G253" s="13">
        <f>TaxRate</f>
        <v/>
      </c>
      <c r="H253" s="10">
        <f>IF(B253="","",F253*G253)</f>
        <v/>
      </c>
      <c r="I253" s="10">
        <f>IF(B253="","",F253+H253)</f>
        <v/>
      </c>
      <c r="J253" s="9" t="n"/>
      <c r="K253" s="12" t="n"/>
      <c r="L253" s="9">
        <f>IF(B253="","",IF(AND(J253&lt;&gt;"Paid",TODAY()&gt;D253),TODAY()-D253,0))</f>
        <v/>
      </c>
      <c r="M253" s="9">
        <f>IF(C253="","",MONTH(C253))</f>
        <v/>
      </c>
      <c r="N253" s="9">
        <f>IF(C253="","",YEAR(C253))</f>
        <v/>
      </c>
    </row>
    <row r="254">
      <c r="A254" s="9">
        <f>IF(B254="","",InvoicePrefix&amp;TEXT(StartNumber+ROW()-2,"0000"))</f>
        <v/>
      </c>
      <c r="B254" s="9" t="n"/>
      <c r="C254" s="12" t="n"/>
      <c r="D254" s="12" t="n"/>
      <c r="E254" s="9" t="n"/>
      <c r="F254" s="10" t="n"/>
      <c r="G254" s="13">
        <f>TaxRate</f>
        <v/>
      </c>
      <c r="H254" s="10">
        <f>IF(B254="","",F254*G254)</f>
        <v/>
      </c>
      <c r="I254" s="10">
        <f>IF(B254="","",F254+H254)</f>
        <v/>
      </c>
      <c r="J254" s="9" t="n"/>
      <c r="K254" s="12" t="n"/>
      <c r="L254" s="9">
        <f>IF(B254="","",IF(AND(J254&lt;&gt;"Paid",TODAY()&gt;D254),TODAY()-D254,0))</f>
        <v/>
      </c>
      <c r="M254" s="9">
        <f>IF(C254="","",MONTH(C254))</f>
        <v/>
      </c>
      <c r="N254" s="9">
        <f>IF(C254="","",YEAR(C254))</f>
        <v/>
      </c>
    </row>
    <row r="255">
      <c r="A255" s="9">
        <f>IF(B255="","",InvoicePrefix&amp;TEXT(StartNumber+ROW()-2,"0000"))</f>
        <v/>
      </c>
      <c r="B255" s="9" t="n"/>
      <c r="C255" s="12" t="n"/>
      <c r="D255" s="12" t="n"/>
      <c r="E255" s="9" t="n"/>
      <c r="F255" s="10" t="n"/>
      <c r="G255" s="13">
        <f>TaxRate</f>
        <v/>
      </c>
      <c r="H255" s="10">
        <f>IF(B255="","",F255*G255)</f>
        <v/>
      </c>
      <c r="I255" s="10">
        <f>IF(B255="","",F255+H255)</f>
        <v/>
      </c>
      <c r="J255" s="9" t="n"/>
      <c r="K255" s="12" t="n"/>
      <c r="L255" s="9">
        <f>IF(B255="","",IF(AND(J255&lt;&gt;"Paid",TODAY()&gt;D255),TODAY()-D255,0))</f>
        <v/>
      </c>
      <c r="M255" s="9">
        <f>IF(C255="","",MONTH(C255))</f>
        <v/>
      </c>
      <c r="N255" s="9">
        <f>IF(C255="","",YEAR(C255))</f>
        <v/>
      </c>
    </row>
    <row r="256">
      <c r="A256" s="9">
        <f>IF(B256="","",InvoicePrefix&amp;TEXT(StartNumber+ROW()-2,"0000"))</f>
        <v/>
      </c>
      <c r="B256" s="9" t="n"/>
      <c r="C256" s="12" t="n"/>
      <c r="D256" s="12" t="n"/>
      <c r="E256" s="9" t="n"/>
      <c r="F256" s="10" t="n"/>
      <c r="G256" s="13">
        <f>TaxRate</f>
        <v/>
      </c>
      <c r="H256" s="10">
        <f>IF(B256="","",F256*G256)</f>
        <v/>
      </c>
      <c r="I256" s="10">
        <f>IF(B256="","",F256+H256)</f>
        <v/>
      </c>
      <c r="J256" s="9" t="n"/>
      <c r="K256" s="12" t="n"/>
      <c r="L256" s="9">
        <f>IF(B256="","",IF(AND(J256&lt;&gt;"Paid",TODAY()&gt;D256),TODAY()-D256,0))</f>
        <v/>
      </c>
      <c r="M256" s="9">
        <f>IF(C256="","",MONTH(C256))</f>
        <v/>
      </c>
      <c r="N256" s="9">
        <f>IF(C256="","",YEAR(C256))</f>
        <v/>
      </c>
    </row>
    <row r="257">
      <c r="A257" s="9">
        <f>IF(B257="","",InvoicePrefix&amp;TEXT(StartNumber+ROW()-2,"0000"))</f>
        <v/>
      </c>
      <c r="B257" s="9" t="n"/>
      <c r="C257" s="12" t="n"/>
      <c r="D257" s="12" t="n"/>
      <c r="E257" s="9" t="n"/>
      <c r="F257" s="10" t="n"/>
      <c r="G257" s="13">
        <f>TaxRate</f>
        <v/>
      </c>
      <c r="H257" s="10">
        <f>IF(B257="","",F257*G257)</f>
        <v/>
      </c>
      <c r="I257" s="10">
        <f>IF(B257="","",F257+H257)</f>
        <v/>
      </c>
      <c r="J257" s="9" t="n"/>
      <c r="K257" s="12" t="n"/>
      <c r="L257" s="9">
        <f>IF(B257="","",IF(AND(J257&lt;&gt;"Paid",TODAY()&gt;D257),TODAY()-D257,0))</f>
        <v/>
      </c>
      <c r="M257" s="9">
        <f>IF(C257="","",MONTH(C257))</f>
        <v/>
      </c>
      <c r="N257" s="9">
        <f>IF(C257="","",YEAR(C257))</f>
        <v/>
      </c>
    </row>
    <row r="258">
      <c r="A258" s="9">
        <f>IF(B258="","",InvoicePrefix&amp;TEXT(StartNumber+ROW()-2,"0000"))</f>
        <v/>
      </c>
      <c r="B258" s="9" t="n"/>
      <c r="C258" s="12" t="n"/>
      <c r="D258" s="12" t="n"/>
      <c r="E258" s="9" t="n"/>
      <c r="F258" s="10" t="n"/>
      <c r="G258" s="13">
        <f>TaxRate</f>
        <v/>
      </c>
      <c r="H258" s="10">
        <f>IF(B258="","",F258*G258)</f>
        <v/>
      </c>
      <c r="I258" s="10">
        <f>IF(B258="","",F258+H258)</f>
        <v/>
      </c>
      <c r="J258" s="9" t="n"/>
      <c r="K258" s="12" t="n"/>
      <c r="L258" s="9">
        <f>IF(B258="","",IF(AND(J258&lt;&gt;"Paid",TODAY()&gt;D258),TODAY()-D258,0))</f>
        <v/>
      </c>
      <c r="M258" s="9">
        <f>IF(C258="","",MONTH(C258))</f>
        <v/>
      </c>
      <c r="N258" s="9">
        <f>IF(C258="","",YEAR(C258))</f>
        <v/>
      </c>
    </row>
    <row r="259">
      <c r="A259" s="9">
        <f>IF(B259="","",InvoicePrefix&amp;TEXT(StartNumber+ROW()-2,"0000"))</f>
        <v/>
      </c>
      <c r="B259" s="9" t="n"/>
      <c r="C259" s="12" t="n"/>
      <c r="D259" s="12" t="n"/>
      <c r="E259" s="9" t="n"/>
      <c r="F259" s="10" t="n"/>
      <c r="G259" s="13">
        <f>TaxRate</f>
        <v/>
      </c>
      <c r="H259" s="10">
        <f>IF(B259="","",F259*G259)</f>
        <v/>
      </c>
      <c r="I259" s="10">
        <f>IF(B259="","",F259+H259)</f>
        <v/>
      </c>
      <c r="J259" s="9" t="n"/>
      <c r="K259" s="12" t="n"/>
      <c r="L259" s="9">
        <f>IF(B259="","",IF(AND(J259&lt;&gt;"Paid",TODAY()&gt;D259),TODAY()-D259,0))</f>
        <v/>
      </c>
      <c r="M259" s="9">
        <f>IF(C259="","",MONTH(C259))</f>
        <v/>
      </c>
      <c r="N259" s="9">
        <f>IF(C259="","",YEAR(C259))</f>
        <v/>
      </c>
    </row>
    <row r="260">
      <c r="A260" s="9">
        <f>IF(B260="","",InvoicePrefix&amp;TEXT(StartNumber+ROW()-2,"0000"))</f>
        <v/>
      </c>
      <c r="B260" s="9" t="n"/>
      <c r="C260" s="12" t="n"/>
      <c r="D260" s="12" t="n"/>
      <c r="E260" s="9" t="n"/>
      <c r="F260" s="10" t="n"/>
      <c r="G260" s="13">
        <f>TaxRate</f>
        <v/>
      </c>
      <c r="H260" s="10">
        <f>IF(B260="","",F260*G260)</f>
        <v/>
      </c>
      <c r="I260" s="10">
        <f>IF(B260="","",F260+H260)</f>
        <v/>
      </c>
      <c r="J260" s="9" t="n"/>
      <c r="K260" s="12" t="n"/>
      <c r="L260" s="9">
        <f>IF(B260="","",IF(AND(J260&lt;&gt;"Paid",TODAY()&gt;D260),TODAY()-D260,0))</f>
        <v/>
      </c>
      <c r="M260" s="9">
        <f>IF(C260="","",MONTH(C260))</f>
        <v/>
      </c>
      <c r="N260" s="9">
        <f>IF(C260="","",YEAR(C260))</f>
        <v/>
      </c>
    </row>
    <row r="261">
      <c r="A261" s="9">
        <f>IF(B261="","",InvoicePrefix&amp;TEXT(StartNumber+ROW()-2,"0000"))</f>
        <v/>
      </c>
      <c r="B261" s="9" t="n"/>
      <c r="C261" s="12" t="n"/>
      <c r="D261" s="12" t="n"/>
      <c r="E261" s="9" t="n"/>
      <c r="F261" s="10" t="n"/>
      <c r="G261" s="13">
        <f>TaxRate</f>
        <v/>
      </c>
      <c r="H261" s="10">
        <f>IF(B261="","",F261*G261)</f>
        <v/>
      </c>
      <c r="I261" s="10">
        <f>IF(B261="","",F261+H261)</f>
        <v/>
      </c>
      <c r="J261" s="9" t="n"/>
      <c r="K261" s="12" t="n"/>
      <c r="L261" s="9">
        <f>IF(B261="","",IF(AND(J261&lt;&gt;"Paid",TODAY()&gt;D261),TODAY()-D261,0))</f>
        <v/>
      </c>
      <c r="M261" s="9">
        <f>IF(C261="","",MONTH(C261))</f>
        <v/>
      </c>
      <c r="N261" s="9">
        <f>IF(C261="","",YEAR(C261))</f>
        <v/>
      </c>
    </row>
    <row r="262">
      <c r="A262" s="9">
        <f>IF(B262="","",InvoicePrefix&amp;TEXT(StartNumber+ROW()-2,"0000"))</f>
        <v/>
      </c>
      <c r="B262" s="9" t="n"/>
      <c r="C262" s="12" t="n"/>
      <c r="D262" s="12" t="n"/>
      <c r="E262" s="9" t="n"/>
      <c r="F262" s="10" t="n"/>
      <c r="G262" s="13">
        <f>TaxRate</f>
        <v/>
      </c>
      <c r="H262" s="10">
        <f>IF(B262="","",F262*G262)</f>
        <v/>
      </c>
      <c r="I262" s="10">
        <f>IF(B262="","",F262+H262)</f>
        <v/>
      </c>
      <c r="J262" s="9" t="n"/>
      <c r="K262" s="12" t="n"/>
      <c r="L262" s="9">
        <f>IF(B262="","",IF(AND(J262&lt;&gt;"Paid",TODAY()&gt;D262),TODAY()-D262,0))</f>
        <v/>
      </c>
      <c r="M262" s="9">
        <f>IF(C262="","",MONTH(C262))</f>
        <v/>
      </c>
      <c r="N262" s="9">
        <f>IF(C262="","",YEAR(C262))</f>
        <v/>
      </c>
    </row>
    <row r="263">
      <c r="A263" s="9">
        <f>IF(B263="","",InvoicePrefix&amp;TEXT(StartNumber+ROW()-2,"0000"))</f>
        <v/>
      </c>
      <c r="B263" s="9" t="n"/>
      <c r="C263" s="12" t="n"/>
      <c r="D263" s="12" t="n"/>
      <c r="E263" s="9" t="n"/>
      <c r="F263" s="10" t="n"/>
      <c r="G263" s="13">
        <f>TaxRate</f>
        <v/>
      </c>
      <c r="H263" s="10">
        <f>IF(B263="","",F263*G263)</f>
        <v/>
      </c>
      <c r="I263" s="10">
        <f>IF(B263="","",F263+H263)</f>
        <v/>
      </c>
      <c r="J263" s="9" t="n"/>
      <c r="K263" s="12" t="n"/>
      <c r="L263" s="9">
        <f>IF(B263="","",IF(AND(J263&lt;&gt;"Paid",TODAY()&gt;D263),TODAY()-D263,0))</f>
        <v/>
      </c>
      <c r="M263" s="9">
        <f>IF(C263="","",MONTH(C263))</f>
        <v/>
      </c>
      <c r="N263" s="9">
        <f>IF(C263="","",YEAR(C263))</f>
        <v/>
      </c>
    </row>
    <row r="264">
      <c r="A264" s="9">
        <f>IF(B264="","",InvoicePrefix&amp;TEXT(StartNumber+ROW()-2,"0000"))</f>
        <v/>
      </c>
      <c r="B264" s="9" t="n"/>
      <c r="C264" s="12" t="n"/>
      <c r="D264" s="12" t="n"/>
      <c r="E264" s="9" t="n"/>
      <c r="F264" s="10" t="n"/>
      <c r="G264" s="13">
        <f>TaxRate</f>
        <v/>
      </c>
      <c r="H264" s="10">
        <f>IF(B264="","",F264*G264)</f>
        <v/>
      </c>
      <c r="I264" s="10">
        <f>IF(B264="","",F264+H264)</f>
        <v/>
      </c>
      <c r="J264" s="9" t="n"/>
      <c r="K264" s="12" t="n"/>
      <c r="L264" s="9">
        <f>IF(B264="","",IF(AND(J264&lt;&gt;"Paid",TODAY()&gt;D264),TODAY()-D264,0))</f>
        <v/>
      </c>
      <c r="M264" s="9">
        <f>IF(C264="","",MONTH(C264))</f>
        <v/>
      </c>
      <c r="N264" s="9">
        <f>IF(C264="","",YEAR(C264))</f>
        <v/>
      </c>
    </row>
    <row r="265">
      <c r="A265" s="9">
        <f>IF(B265="","",InvoicePrefix&amp;TEXT(StartNumber+ROW()-2,"0000"))</f>
        <v/>
      </c>
      <c r="B265" s="9" t="n"/>
      <c r="C265" s="12" t="n"/>
      <c r="D265" s="12" t="n"/>
      <c r="E265" s="9" t="n"/>
      <c r="F265" s="10" t="n"/>
      <c r="G265" s="13">
        <f>TaxRate</f>
        <v/>
      </c>
      <c r="H265" s="10">
        <f>IF(B265="","",F265*G265)</f>
        <v/>
      </c>
      <c r="I265" s="10">
        <f>IF(B265="","",F265+H265)</f>
        <v/>
      </c>
      <c r="J265" s="9" t="n"/>
      <c r="K265" s="12" t="n"/>
      <c r="L265" s="9">
        <f>IF(B265="","",IF(AND(J265&lt;&gt;"Paid",TODAY()&gt;D265),TODAY()-D265,0))</f>
        <v/>
      </c>
      <c r="M265" s="9">
        <f>IF(C265="","",MONTH(C265))</f>
        <v/>
      </c>
      <c r="N265" s="9">
        <f>IF(C265="","",YEAR(C265))</f>
        <v/>
      </c>
    </row>
    <row r="266">
      <c r="A266" s="9">
        <f>IF(B266="","",InvoicePrefix&amp;TEXT(StartNumber+ROW()-2,"0000"))</f>
        <v/>
      </c>
      <c r="B266" s="9" t="n"/>
      <c r="C266" s="12" t="n"/>
      <c r="D266" s="12" t="n"/>
      <c r="E266" s="9" t="n"/>
      <c r="F266" s="10" t="n"/>
      <c r="G266" s="13">
        <f>TaxRate</f>
        <v/>
      </c>
      <c r="H266" s="10">
        <f>IF(B266="","",F266*G266)</f>
        <v/>
      </c>
      <c r="I266" s="10">
        <f>IF(B266="","",F266+H266)</f>
        <v/>
      </c>
      <c r="J266" s="9" t="n"/>
      <c r="K266" s="12" t="n"/>
      <c r="L266" s="9">
        <f>IF(B266="","",IF(AND(J266&lt;&gt;"Paid",TODAY()&gt;D266),TODAY()-D266,0))</f>
        <v/>
      </c>
      <c r="M266" s="9">
        <f>IF(C266="","",MONTH(C266))</f>
        <v/>
      </c>
      <c r="N266" s="9">
        <f>IF(C266="","",YEAR(C266))</f>
        <v/>
      </c>
    </row>
    <row r="267">
      <c r="A267" s="9">
        <f>IF(B267="","",InvoicePrefix&amp;TEXT(StartNumber+ROW()-2,"0000"))</f>
        <v/>
      </c>
      <c r="B267" s="9" t="n"/>
      <c r="C267" s="12" t="n"/>
      <c r="D267" s="12" t="n"/>
      <c r="E267" s="9" t="n"/>
      <c r="F267" s="10" t="n"/>
      <c r="G267" s="13">
        <f>TaxRate</f>
        <v/>
      </c>
      <c r="H267" s="10">
        <f>IF(B267="","",F267*G267)</f>
        <v/>
      </c>
      <c r="I267" s="10">
        <f>IF(B267="","",F267+H267)</f>
        <v/>
      </c>
      <c r="J267" s="9" t="n"/>
      <c r="K267" s="12" t="n"/>
      <c r="L267" s="9">
        <f>IF(B267="","",IF(AND(J267&lt;&gt;"Paid",TODAY()&gt;D267),TODAY()-D267,0))</f>
        <v/>
      </c>
      <c r="M267" s="9">
        <f>IF(C267="","",MONTH(C267))</f>
        <v/>
      </c>
      <c r="N267" s="9">
        <f>IF(C267="","",YEAR(C267))</f>
        <v/>
      </c>
    </row>
    <row r="268">
      <c r="A268" s="9">
        <f>IF(B268="","",InvoicePrefix&amp;TEXT(StartNumber+ROW()-2,"0000"))</f>
        <v/>
      </c>
      <c r="B268" s="9" t="n"/>
      <c r="C268" s="12" t="n"/>
      <c r="D268" s="12" t="n"/>
      <c r="E268" s="9" t="n"/>
      <c r="F268" s="10" t="n"/>
      <c r="G268" s="13">
        <f>TaxRate</f>
        <v/>
      </c>
      <c r="H268" s="10">
        <f>IF(B268="","",F268*G268)</f>
        <v/>
      </c>
      <c r="I268" s="10">
        <f>IF(B268="","",F268+H268)</f>
        <v/>
      </c>
      <c r="J268" s="9" t="n"/>
      <c r="K268" s="12" t="n"/>
      <c r="L268" s="9">
        <f>IF(B268="","",IF(AND(J268&lt;&gt;"Paid",TODAY()&gt;D268),TODAY()-D268,0))</f>
        <v/>
      </c>
      <c r="M268" s="9">
        <f>IF(C268="","",MONTH(C268))</f>
        <v/>
      </c>
      <c r="N268" s="9">
        <f>IF(C268="","",YEAR(C268))</f>
        <v/>
      </c>
    </row>
    <row r="269">
      <c r="A269" s="9">
        <f>IF(B269="","",InvoicePrefix&amp;TEXT(StartNumber+ROW()-2,"0000"))</f>
        <v/>
      </c>
      <c r="B269" s="9" t="n"/>
      <c r="C269" s="12" t="n"/>
      <c r="D269" s="12" t="n"/>
      <c r="E269" s="9" t="n"/>
      <c r="F269" s="10" t="n"/>
      <c r="G269" s="13">
        <f>TaxRate</f>
        <v/>
      </c>
      <c r="H269" s="10">
        <f>IF(B269="","",F269*G269)</f>
        <v/>
      </c>
      <c r="I269" s="10">
        <f>IF(B269="","",F269+H269)</f>
        <v/>
      </c>
      <c r="J269" s="9" t="n"/>
      <c r="K269" s="12" t="n"/>
      <c r="L269" s="9">
        <f>IF(B269="","",IF(AND(J269&lt;&gt;"Paid",TODAY()&gt;D269),TODAY()-D269,0))</f>
        <v/>
      </c>
      <c r="M269" s="9">
        <f>IF(C269="","",MONTH(C269))</f>
        <v/>
      </c>
      <c r="N269" s="9">
        <f>IF(C269="","",YEAR(C269))</f>
        <v/>
      </c>
    </row>
    <row r="270">
      <c r="A270" s="9">
        <f>IF(B270="","",InvoicePrefix&amp;TEXT(StartNumber+ROW()-2,"0000"))</f>
        <v/>
      </c>
      <c r="B270" s="9" t="n"/>
      <c r="C270" s="12" t="n"/>
      <c r="D270" s="12" t="n"/>
      <c r="E270" s="9" t="n"/>
      <c r="F270" s="10" t="n"/>
      <c r="G270" s="13">
        <f>TaxRate</f>
        <v/>
      </c>
      <c r="H270" s="10">
        <f>IF(B270="","",F270*G270)</f>
        <v/>
      </c>
      <c r="I270" s="10">
        <f>IF(B270="","",F270+H270)</f>
        <v/>
      </c>
      <c r="J270" s="9" t="n"/>
      <c r="K270" s="12" t="n"/>
      <c r="L270" s="9">
        <f>IF(B270="","",IF(AND(J270&lt;&gt;"Paid",TODAY()&gt;D270),TODAY()-D270,0))</f>
        <v/>
      </c>
      <c r="M270" s="9">
        <f>IF(C270="","",MONTH(C270))</f>
        <v/>
      </c>
      <c r="N270" s="9">
        <f>IF(C270="","",YEAR(C270))</f>
        <v/>
      </c>
    </row>
    <row r="271">
      <c r="A271" s="9">
        <f>IF(B271="","",InvoicePrefix&amp;TEXT(StartNumber+ROW()-2,"0000"))</f>
        <v/>
      </c>
      <c r="B271" s="9" t="n"/>
      <c r="C271" s="12" t="n"/>
      <c r="D271" s="12" t="n"/>
      <c r="E271" s="9" t="n"/>
      <c r="F271" s="10" t="n"/>
      <c r="G271" s="13">
        <f>TaxRate</f>
        <v/>
      </c>
      <c r="H271" s="10">
        <f>IF(B271="","",F271*G271)</f>
        <v/>
      </c>
      <c r="I271" s="10">
        <f>IF(B271="","",F271+H271)</f>
        <v/>
      </c>
      <c r="J271" s="9" t="n"/>
      <c r="K271" s="12" t="n"/>
      <c r="L271" s="9">
        <f>IF(B271="","",IF(AND(J271&lt;&gt;"Paid",TODAY()&gt;D271),TODAY()-D271,0))</f>
        <v/>
      </c>
      <c r="M271" s="9">
        <f>IF(C271="","",MONTH(C271))</f>
        <v/>
      </c>
      <c r="N271" s="9">
        <f>IF(C271="","",YEAR(C271))</f>
        <v/>
      </c>
    </row>
    <row r="272">
      <c r="A272" s="9">
        <f>IF(B272="","",InvoicePrefix&amp;TEXT(StartNumber+ROW()-2,"0000"))</f>
        <v/>
      </c>
      <c r="B272" s="9" t="n"/>
      <c r="C272" s="12" t="n"/>
      <c r="D272" s="12" t="n"/>
      <c r="E272" s="9" t="n"/>
      <c r="F272" s="10" t="n"/>
      <c r="G272" s="13">
        <f>TaxRate</f>
        <v/>
      </c>
      <c r="H272" s="10">
        <f>IF(B272="","",F272*G272)</f>
        <v/>
      </c>
      <c r="I272" s="10">
        <f>IF(B272="","",F272+H272)</f>
        <v/>
      </c>
      <c r="J272" s="9" t="n"/>
      <c r="K272" s="12" t="n"/>
      <c r="L272" s="9">
        <f>IF(B272="","",IF(AND(J272&lt;&gt;"Paid",TODAY()&gt;D272),TODAY()-D272,0))</f>
        <v/>
      </c>
      <c r="M272" s="9">
        <f>IF(C272="","",MONTH(C272))</f>
        <v/>
      </c>
      <c r="N272" s="9">
        <f>IF(C272="","",YEAR(C272))</f>
        <v/>
      </c>
    </row>
    <row r="273">
      <c r="A273" s="9">
        <f>IF(B273="","",InvoicePrefix&amp;TEXT(StartNumber+ROW()-2,"0000"))</f>
        <v/>
      </c>
      <c r="B273" s="9" t="n"/>
      <c r="C273" s="12" t="n"/>
      <c r="D273" s="12" t="n"/>
      <c r="E273" s="9" t="n"/>
      <c r="F273" s="10" t="n"/>
      <c r="G273" s="13">
        <f>TaxRate</f>
        <v/>
      </c>
      <c r="H273" s="10">
        <f>IF(B273="","",F273*G273)</f>
        <v/>
      </c>
      <c r="I273" s="10">
        <f>IF(B273="","",F273+H273)</f>
        <v/>
      </c>
      <c r="J273" s="9" t="n"/>
      <c r="K273" s="12" t="n"/>
      <c r="L273" s="9">
        <f>IF(B273="","",IF(AND(J273&lt;&gt;"Paid",TODAY()&gt;D273),TODAY()-D273,0))</f>
        <v/>
      </c>
      <c r="M273" s="9">
        <f>IF(C273="","",MONTH(C273))</f>
        <v/>
      </c>
      <c r="N273" s="9">
        <f>IF(C273="","",YEAR(C273))</f>
        <v/>
      </c>
    </row>
    <row r="274">
      <c r="A274" s="9">
        <f>IF(B274="","",InvoicePrefix&amp;TEXT(StartNumber+ROW()-2,"0000"))</f>
        <v/>
      </c>
      <c r="B274" s="9" t="n"/>
      <c r="C274" s="12" t="n"/>
      <c r="D274" s="12" t="n"/>
      <c r="E274" s="9" t="n"/>
      <c r="F274" s="10" t="n"/>
      <c r="G274" s="13">
        <f>TaxRate</f>
        <v/>
      </c>
      <c r="H274" s="10">
        <f>IF(B274="","",F274*G274)</f>
        <v/>
      </c>
      <c r="I274" s="10">
        <f>IF(B274="","",F274+H274)</f>
        <v/>
      </c>
      <c r="J274" s="9" t="n"/>
      <c r="K274" s="12" t="n"/>
      <c r="L274" s="9">
        <f>IF(B274="","",IF(AND(J274&lt;&gt;"Paid",TODAY()&gt;D274),TODAY()-D274,0))</f>
        <v/>
      </c>
      <c r="M274" s="9">
        <f>IF(C274="","",MONTH(C274))</f>
        <v/>
      </c>
      <c r="N274" s="9">
        <f>IF(C274="","",YEAR(C274))</f>
        <v/>
      </c>
    </row>
    <row r="275">
      <c r="A275" s="9">
        <f>IF(B275="","",InvoicePrefix&amp;TEXT(StartNumber+ROW()-2,"0000"))</f>
        <v/>
      </c>
      <c r="B275" s="9" t="n"/>
      <c r="C275" s="12" t="n"/>
      <c r="D275" s="12" t="n"/>
      <c r="E275" s="9" t="n"/>
      <c r="F275" s="10" t="n"/>
      <c r="G275" s="13">
        <f>TaxRate</f>
        <v/>
      </c>
      <c r="H275" s="10">
        <f>IF(B275="","",F275*G275)</f>
        <v/>
      </c>
      <c r="I275" s="10">
        <f>IF(B275="","",F275+H275)</f>
        <v/>
      </c>
      <c r="J275" s="9" t="n"/>
      <c r="K275" s="12" t="n"/>
      <c r="L275" s="9">
        <f>IF(B275="","",IF(AND(J275&lt;&gt;"Paid",TODAY()&gt;D275),TODAY()-D275,0))</f>
        <v/>
      </c>
      <c r="M275" s="9">
        <f>IF(C275="","",MONTH(C275))</f>
        <v/>
      </c>
      <c r="N275" s="9">
        <f>IF(C275="","",YEAR(C275))</f>
        <v/>
      </c>
    </row>
    <row r="276">
      <c r="A276" s="9">
        <f>IF(B276="","",InvoicePrefix&amp;TEXT(StartNumber+ROW()-2,"0000"))</f>
        <v/>
      </c>
      <c r="B276" s="9" t="n"/>
      <c r="C276" s="12" t="n"/>
      <c r="D276" s="12" t="n"/>
      <c r="E276" s="9" t="n"/>
      <c r="F276" s="10" t="n"/>
      <c r="G276" s="13">
        <f>TaxRate</f>
        <v/>
      </c>
      <c r="H276" s="10">
        <f>IF(B276="","",F276*G276)</f>
        <v/>
      </c>
      <c r="I276" s="10">
        <f>IF(B276="","",F276+H276)</f>
        <v/>
      </c>
      <c r="J276" s="9" t="n"/>
      <c r="K276" s="12" t="n"/>
      <c r="L276" s="9">
        <f>IF(B276="","",IF(AND(J276&lt;&gt;"Paid",TODAY()&gt;D276),TODAY()-D276,0))</f>
        <v/>
      </c>
      <c r="M276" s="9">
        <f>IF(C276="","",MONTH(C276))</f>
        <v/>
      </c>
      <c r="N276" s="9">
        <f>IF(C276="","",YEAR(C276))</f>
        <v/>
      </c>
    </row>
    <row r="277">
      <c r="A277" s="9">
        <f>IF(B277="","",InvoicePrefix&amp;TEXT(StartNumber+ROW()-2,"0000"))</f>
        <v/>
      </c>
      <c r="B277" s="9" t="n"/>
      <c r="C277" s="12" t="n"/>
      <c r="D277" s="12" t="n"/>
      <c r="E277" s="9" t="n"/>
      <c r="F277" s="10" t="n"/>
      <c r="G277" s="13">
        <f>TaxRate</f>
        <v/>
      </c>
      <c r="H277" s="10">
        <f>IF(B277="","",F277*G277)</f>
        <v/>
      </c>
      <c r="I277" s="10">
        <f>IF(B277="","",F277+H277)</f>
        <v/>
      </c>
      <c r="J277" s="9" t="n"/>
      <c r="K277" s="12" t="n"/>
      <c r="L277" s="9">
        <f>IF(B277="","",IF(AND(J277&lt;&gt;"Paid",TODAY()&gt;D277),TODAY()-D277,0))</f>
        <v/>
      </c>
      <c r="M277" s="9">
        <f>IF(C277="","",MONTH(C277))</f>
        <v/>
      </c>
      <c r="N277" s="9">
        <f>IF(C277="","",YEAR(C277))</f>
        <v/>
      </c>
    </row>
    <row r="278">
      <c r="A278" s="9">
        <f>IF(B278="","",InvoicePrefix&amp;TEXT(StartNumber+ROW()-2,"0000"))</f>
        <v/>
      </c>
      <c r="B278" s="9" t="n"/>
      <c r="C278" s="12" t="n"/>
      <c r="D278" s="12" t="n"/>
      <c r="E278" s="9" t="n"/>
      <c r="F278" s="10" t="n"/>
      <c r="G278" s="13">
        <f>TaxRate</f>
        <v/>
      </c>
      <c r="H278" s="10">
        <f>IF(B278="","",F278*G278)</f>
        <v/>
      </c>
      <c r="I278" s="10">
        <f>IF(B278="","",F278+H278)</f>
        <v/>
      </c>
      <c r="J278" s="9" t="n"/>
      <c r="K278" s="12" t="n"/>
      <c r="L278" s="9">
        <f>IF(B278="","",IF(AND(J278&lt;&gt;"Paid",TODAY()&gt;D278),TODAY()-D278,0))</f>
        <v/>
      </c>
      <c r="M278" s="9">
        <f>IF(C278="","",MONTH(C278))</f>
        <v/>
      </c>
      <c r="N278" s="9">
        <f>IF(C278="","",YEAR(C278))</f>
        <v/>
      </c>
    </row>
    <row r="279">
      <c r="A279" s="9">
        <f>IF(B279="","",InvoicePrefix&amp;TEXT(StartNumber+ROW()-2,"0000"))</f>
        <v/>
      </c>
      <c r="B279" s="9" t="n"/>
      <c r="C279" s="12" t="n"/>
      <c r="D279" s="12" t="n"/>
      <c r="E279" s="9" t="n"/>
      <c r="F279" s="10" t="n"/>
      <c r="G279" s="13">
        <f>TaxRate</f>
        <v/>
      </c>
      <c r="H279" s="10">
        <f>IF(B279="","",F279*G279)</f>
        <v/>
      </c>
      <c r="I279" s="10">
        <f>IF(B279="","",F279+H279)</f>
        <v/>
      </c>
      <c r="J279" s="9" t="n"/>
      <c r="K279" s="12" t="n"/>
      <c r="L279" s="9">
        <f>IF(B279="","",IF(AND(J279&lt;&gt;"Paid",TODAY()&gt;D279),TODAY()-D279,0))</f>
        <v/>
      </c>
      <c r="M279" s="9">
        <f>IF(C279="","",MONTH(C279))</f>
        <v/>
      </c>
      <c r="N279" s="9">
        <f>IF(C279="","",YEAR(C279))</f>
        <v/>
      </c>
    </row>
    <row r="280">
      <c r="A280" s="9">
        <f>IF(B280="","",InvoicePrefix&amp;TEXT(StartNumber+ROW()-2,"0000"))</f>
        <v/>
      </c>
      <c r="B280" s="9" t="n"/>
      <c r="C280" s="12" t="n"/>
      <c r="D280" s="12" t="n"/>
      <c r="E280" s="9" t="n"/>
      <c r="F280" s="10" t="n"/>
      <c r="G280" s="13">
        <f>TaxRate</f>
        <v/>
      </c>
      <c r="H280" s="10">
        <f>IF(B280="","",F280*G280)</f>
        <v/>
      </c>
      <c r="I280" s="10">
        <f>IF(B280="","",F280+H280)</f>
        <v/>
      </c>
      <c r="J280" s="9" t="n"/>
      <c r="K280" s="12" t="n"/>
      <c r="L280" s="9">
        <f>IF(B280="","",IF(AND(J280&lt;&gt;"Paid",TODAY()&gt;D280),TODAY()-D280,0))</f>
        <v/>
      </c>
      <c r="M280" s="9">
        <f>IF(C280="","",MONTH(C280))</f>
        <v/>
      </c>
      <c r="N280" s="9">
        <f>IF(C280="","",YEAR(C280))</f>
        <v/>
      </c>
    </row>
    <row r="281">
      <c r="A281" s="9">
        <f>IF(B281="","",InvoicePrefix&amp;TEXT(StartNumber+ROW()-2,"0000"))</f>
        <v/>
      </c>
      <c r="B281" s="9" t="n"/>
      <c r="C281" s="12" t="n"/>
      <c r="D281" s="12" t="n"/>
      <c r="E281" s="9" t="n"/>
      <c r="F281" s="10" t="n"/>
      <c r="G281" s="13">
        <f>TaxRate</f>
        <v/>
      </c>
      <c r="H281" s="10">
        <f>IF(B281="","",F281*G281)</f>
        <v/>
      </c>
      <c r="I281" s="10">
        <f>IF(B281="","",F281+H281)</f>
        <v/>
      </c>
      <c r="J281" s="9" t="n"/>
      <c r="K281" s="12" t="n"/>
      <c r="L281" s="9">
        <f>IF(B281="","",IF(AND(J281&lt;&gt;"Paid",TODAY()&gt;D281),TODAY()-D281,0))</f>
        <v/>
      </c>
      <c r="M281" s="9">
        <f>IF(C281="","",MONTH(C281))</f>
        <v/>
      </c>
      <c r="N281" s="9">
        <f>IF(C281="","",YEAR(C281))</f>
        <v/>
      </c>
    </row>
    <row r="282">
      <c r="A282" s="9">
        <f>IF(B282="","",InvoicePrefix&amp;TEXT(StartNumber+ROW()-2,"0000"))</f>
        <v/>
      </c>
      <c r="B282" s="9" t="n"/>
      <c r="C282" s="12" t="n"/>
      <c r="D282" s="12" t="n"/>
      <c r="E282" s="9" t="n"/>
      <c r="F282" s="10" t="n"/>
      <c r="G282" s="13">
        <f>TaxRate</f>
        <v/>
      </c>
      <c r="H282" s="10">
        <f>IF(B282="","",F282*G282)</f>
        <v/>
      </c>
      <c r="I282" s="10">
        <f>IF(B282="","",F282+H282)</f>
        <v/>
      </c>
      <c r="J282" s="9" t="n"/>
      <c r="K282" s="12" t="n"/>
      <c r="L282" s="9">
        <f>IF(B282="","",IF(AND(J282&lt;&gt;"Paid",TODAY()&gt;D282),TODAY()-D282,0))</f>
        <v/>
      </c>
      <c r="M282" s="9">
        <f>IF(C282="","",MONTH(C282))</f>
        <v/>
      </c>
      <c r="N282" s="9">
        <f>IF(C282="","",YEAR(C282))</f>
        <v/>
      </c>
    </row>
    <row r="283">
      <c r="A283" s="9">
        <f>IF(B283="","",InvoicePrefix&amp;TEXT(StartNumber+ROW()-2,"0000"))</f>
        <v/>
      </c>
      <c r="B283" s="9" t="n"/>
      <c r="C283" s="12" t="n"/>
      <c r="D283" s="12" t="n"/>
      <c r="E283" s="9" t="n"/>
      <c r="F283" s="10" t="n"/>
      <c r="G283" s="13">
        <f>TaxRate</f>
        <v/>
      </c>
      <c r="H283" s="10">
        <f>IF(B283="","",F283*G283)</f>
        <v/>
      </c>
      <c r="I283" s="10">
        <f>IF(B283="","",F283+H283)</f>
        <v/>
      </c>
      <c r="J283" s="9" t="n"/>
      <c r="K283" s="12" t="n"/>
      <c r="L283" s="9">
        <f>IF(B283="","",IF(AND(J283&lt;&gt;"Paid",TODAY()&gt;D283),TODAY()-D283,0))</f>
        <v/>
      </c>
      <c r="M283" s="9">
        <f>IF(C283="","",MONTH(C283))</f>
        <v/>
      </c>
      <c r="N283" s="9">
        <f>IF(C283="","",YEAR(C283))</f>
        <v/>
      </c>
    </row>
    <row r="284">
      <c r="A284" s="9">
        <f>IF(B284="","",InvoicePrefix&amp;TEXT(StartNumber+ROW()-2,"0000"))</f>
        <v/>
      </c>
      <c r="B284" s="9" t="n"/>
      <c r="C284" s="12" t="n"/>
      <c r="D284" s="12" t="n"/>
      <c r="E284" s="9" t="n"/>
      <c r="F284" s="10" t="n"/>
      <c r="G284" s="13">
        <f>TaxRate</f>
        <v/>
      </c>
      <c r="H284" s="10">
        <f>IF(B284="","",F284*G284)</f>
        <v/>
      </c>
      <c r="I284" s="10">
        <f>IF(B284="","",F284+H284)</f>
        <v/>
      </c>
      <c r="J284" s="9" t="n"/>
      <c r="K284" s="12" t="n"/>
      <c r="L284" s="9">
        <f>IF(B284="","",IF(AND(J284&lt;&gt;"Paid",TODAY()&gt;D284),TODAY()-D284,0))</f>
        <v/>
      </c>
      <c r="M284" s="9">
        <f>IF(C284="","",MONTH(C284))</f>
        <v/>
      </c>
      <c r="N284" s="9">
        <f>IF(C284="","",YEAR(C284))</f>
        <v/>
      </c>
    </row>
    <row r="285">
      <c r="A285" s="9">
        <f>IF(B285="","",InvoicePrefix&amp;TEXT(StartNumber+ROW()-2,"0000"))</f>
        <v/>
      </c>
      <c r="B285" s="9" t="n"/>
      <c r="C285" s="12" t="n"/>
      <c r="D285" s="12" t="n"/>
      <c r="E285" s="9" t="n"/>
      <c r="F285" s="10" t="n"/>
      <c r="G285" s="13">
        <f>TaxRate</f>
        <v/>
      </c>
      <c r="H285" s="10">
        <f>IF(B285="","",F285*G285)</f>
        <v/>
      </c>
      <c r="I285" s="10">
        <f>IF(B285="","",F285+H285)</f>
        <v/>
      </c>
      <c r="J285" s="9" t="n"/>
      <c r="K285" s="12" t="n"/>
      <c r="L285" s="9">
        <f>IF(B285="","",IF(AND(J285&lt;&gt;"Paid",TODAY()&gt;D285),TODAY()-D285,0))</f>
        <v/>
      </c>
      <c r="M285" s="9">
        <f>IF(C285="","",MONTH(C285))</f>
        <v/>
      </c>
      <c r="N285" s="9">
        <f>IF(C285="","",YEAR(C285))</f>
        <v/>
      </c>
    </row>
    <row r="286">
      <c r="A286" s="9">
        <f>IF(B286="","",InvoicePrefix&amp;TEXT(StartNumber+ROW()-2,"0000"))</f>
        <v/>
      </c>
      <c r="B286" s="9" t="n"/>
      <c r="C286" s="12" t="n"/>
      <c r="D286" s="12" t="n"/>
      <c r="E286" s="9" t="n"/>
      <c r="F286" s="10" t="n"/>
      <c r="G286" s="13">
        <f>TaxRate</f>
        <v/>
      </c>
      <c r="H286" s="10">
        <f>IF(B286="","",F286*G286)</f>
        <v/>
      </c>
      <c r="I286" s="10">
        <f>IF(B286="","",F286+H286)</f>
        <v/>
      </c>
      <c r="J286" s="9" t="n"/>
      <c r="K286" s="12" t="n"/>
      <c r="L286" s="9">
        <f>IF(B286="","",IF(AND(J286&lt;&gt;"Paid",TODAY()&gt;D286),TODAY()-D286,0))</f>
        <v/>
      </c>
      <c r="M286" s="9">
        <f>IF(C286="","",MONTH(C286))</f>
        <v/>
      </c>
      <c r="N286" s="9">
        <f>IF(C286="","",YEAR(C286))</f>
        <v/>
      </c>
    </row>
    <row r="287">
      <c r="A287" s="9">
        <f>IF(B287="","",InvoicePrefix&amp;TEXT(StartNumber+ROW()-2,"0000"))</f>
        <v/>
      </c>
      <c r="B287" s="9" t="n"/>
      <c r="C287" s="12" t="n"/>
      <c r="D287" s="12" t="n"/>
      <c r="E287" s="9" t="n"/>
      <c r="F287" s="10" t="n"/>
      <c r="G287" s="13">
        <f>TaxRate</f>
        <v/>
      </c>
      <c r="H287" s="10">
        <f>IF(B287="","",F287*G287)</f>
        <v/>
      </c>
      <c r="I287" s="10">
        <f>IF(B287="","",F287+H287)</f>
        <v/>
      </c>
      <c r="J287" s="9" t="n"/>
      <c r="K287" s="12" t="n"/>
      <c r="L287" s="9">
        <f>IF(B287="","",IF(AND(J287&lt;&gt;"Paid",TODAY()&gt;D287),TODAY()-D287,0))</f>
        <v/>
      </c>
      <c r="M287" s="9">
        <f>IF(C287="","",MONTH(C287))</f>
        <v/>
      </c>
      <c r="N287" s="9">
        <f>IF(C287="","",YEAR(C287))</f>
        <v/>
      </c>
    </row>
    <row r="288">
      <c r="A288" s="9">
        <f>IF(B288="","",InvoicePrefix&amp;TEXT(StartNumber+ROW()-2,"0000"))</f>
        <v/>
      </c>
      <c r="B288" s="9" t="n"/>
      <c r="C288" s="12" t="n"/>
      <c r="D288" s="12" t="n"/>
      <c r="E288" s="9" t="n"/>
      <c r="F288" s="10" t="n"/>
      <c r="G288" s="13">
        <f>TaxRate</f>
        <v/>
      </c>
      <c r="H288" s="10">
        <f>IF(B288="","",F288*G288)</f>
        <v/>
      </c>
      <c r="I288" s="10">
        <f>IF(B288="","",F288+H288)</f>
        <v/>
      </c>
      <c r="J288" s="9" t="n"/>
      <c r="K288" s="12" t="n"/>
      <c r="L288" s="9">
        <f>IF(B288="","",IF(AND(J288&lt;&gt;"Paid",TODAY()&gt;D288),TODAY()-D288,0))</f>
        <v/>
      </c>
      <c r="M288" s="9">
        <f>IF(C288="","",MONTH(C288))</f>
        <v/>
      </c>
      <c r="N288" s="9">
        <f>IF(C288="","",YEAR(C288))</f>
        <v/>
      </c>
    </row>
    <row r="289">
      <c r="A289" s="9">
        <f>IF(B289="","",InvoicePrefix&amp;TEXT(StartNumber+ROW()-2,"0000"))</f>
        <v/>
      </c>
      <c r="B289" s="9" t="n"/>
      <c r="C289" s="12" t="n"/>
      <c r="D289" s="12" t="n"/>
      <c r="E289" s="9" t="n"/>
      <c r="F289" s="10" t="n"/>
      <c r="G289" s="13">
        <f>TaxRate</f>
        <v/>
      </c>
      <c r="H289" s="10">
        <f>IF(B289="","",F289*G289)</f>
        <v/>
      </c>
      <c r="I289" s="10">
        <f>IF(B289="","",F289+H289)</f>
        <v/>
      </c>
      <c r="J289" s="9" t="n"/>
      <c r="K289" s="12" t="n"/>
      <c r="L289" s="9">
        <f>IF(B289="","",IF(AND(J289&lt;&gt;"Paid",TODAY()&gt;D289),TODAY()-D289,0))</f>
        <v/>
      </c>
      <c r="M289" s="9">
        <f>IF(C289="","",MONTH(C289))</f>
        <v/>
      </c>
      <c r="N289" s="9">
        <f>IF(C289="","",YEAR(C289))</f>
        <v/>
      </c>
    </row>
    <row r="290">
      <c r="A290" s="9">
        <f>IF(B290="","",InvoicePrefix&amp;TEXT(StartNumber+ROW()-2,"0000"))</f>
        <v/>
      </c>
      <c r="B290" s="9" t="n"/>
      <c r="C290" s="12" t="n"/>
      <c r="D290" s="12" t="n"/>
      <c r="E290" s="9" t="n"/>
      <c r="F290" s="10" t="n"/>
      <c r="G290" s="13">
        <f>TaxRate</f>
        <v/>
      </c>
      <c r="H290" s="10">
        <f>IF(B290="","",F290*G290)</f>
        <v/>
      </c>
      <c r="I290" s="10">
        <f>IF(B290="","",F290+H290)</f>
        <v/>
      </c>
      <c r="J290" s="9" t="n"/>
      <c r="K290" s="12" t="n"/>
      <c r="L290" s="9">
        <f>IF(B290="","",IF(AND(J290&lt;&gt;"Paid",TODAY()&gt;D290),TODAY()-D290,0))</f>
        <v/>
      </c>
      <c r="M290" s="9">
        <f>IF(C290="","",MONTH(C290))</f>
        <v/>
      </c>
      <c r="N290" s="9">
        <f>IF(C290="","",YEAR(C290))</f>
        <v/>
      </c>
    </row>
    <row r="291">
      <c r="A291" s="9">
        <f>IF(B291="","",InvoicePrefix&amp;TEXT(StartNumber+ROW()-2,"0000"))</f>
        <v/>
      </c>
      <c r="B291" s="9" t="n"/>
      <c r="C291" s="12" t="n"/>
      <c r="D291" s="12" t="n"/>
      <c r="E291" s="9" t="n"/>
      <c r="F291" s="10" t="n"/>
      <c r="G291" s="13">
        <f>TaxRate</f>
        <v/>
      </c>
      <c r="H291" s="10">
        <f>IF(B291="","",F291*G291)</f>
        <v/>
      </c>
      <c r="I291" s="10">
        <f>IF(B291="","",F291+H291)</f>
        <v/>
      </c>
      <c r="J291" s="9" t="n"/>
      <c r="K291" s="12" t="n"/>
      <c r="L291" s="9">
        <f>IF(B291="","",IF(AND(J291&lt;&gt;"Paid",TODAY()&gt;D291),TODAY()-D291,0))</f>
        <v/>
      </c>
      <c r="M291" s="9">
        <f>IF(C291="","",MONTH(C291))</f>
        <v/>
      </c>
      <c r="N291" s="9">
        <f>IF(C291="","",YEAR(C291))</f>
        <v/>
      </c>
    </row>
    <row r="292">
      <c r="A292" s="9">
        <f>IF(B292="","",InvoicePrefix&amp;TEXT(StartNumber+ROW()-2,"0000"))</f>
        <v/>
      </c>
      <c r="B292" s="9" t="n"/>
      <c r="C292" s="12" t="n"/>
      <c r="D292" s="12" t="n"/>
      <c r="E292" s="9" t="n"/>
      <c r="F292" s="10" t="n"/>
      <c r="G292" s="13">
        <f>TaxRate</f>
        <v/>
      </c>
      <c r="H292" s="10">
        <f>IF(B292="","",F292*G292)</f>
        <v/>
      </c>
      <c r="I292" s="10">
        <f>IF(B292="","",F292+H292)</f>
        <v/>
      </c>
      <c r="J292" s="9" t="n"/>
      <c r="K292" s="12" t="n"/>
      <c r="L292" s="9">
        <f>IF(B292="","",IF(AND(J292&lt;&gt;"Paid",TODAY()&gt;D292),TODAY()-D292,0))</f>
        <v/>
      </c>
      <c r="M292" s="9">
        <f>IF(C292="","",MONTH(C292))</f>
        <v/>
      </c>
      <c r="N292" s="9">
        <f>IF(C292="","",YEAR(C292))</f>
        <v/>
      </c>
    </row>
    <row r="293">
      <c r="A293" s="9">
        <f>IF(B293="","",InvoicePrefix&amp;TEXT(StartNumber+ROW()-2,"0000"))</f>
        <v/>
      </c>
      <c r="B293" s="9" t="n"/>
      <c r="C293" s="12" t="n"/>
      <c r="D293" s="12" t="n"/>
      <c r="E293" s="9" t="n"/>
      <c r="F293" s="10" t="n"/>
      <c r="G293" s="13">
        <f>TaxRate</f>
        <v/>
      </c>
      <c r="H293" s="10">
        <f>IF(B293="","",F293*G293)</f>
        <v/>
      </c>
      <c r="I293" s="10">
        <f>IF(B293="","",F293+H293)</f>
        <v/>
      </c>
      <c r="J293" s="9" t="n"/>
      <c r="K293" s="12" t="n"/>
      <c r="L293" s="9">
        <f>IF(B293="","",IF(AND(J293&lt;&gt;"Paid",TODAY()&gt;D293),TODAY()-D293,0))</f>
        <v/>
      </c>
      <c r="M293" s="9">
        <f>IF(C293="","",MONTH(C293))</f>
        <v/>
      </c>
      <c r="N293" s="9">
        <f>IF(C293="","",YEAR(C293))</f>
        <v/>
      </c>
    </row>
    <row r="294">
      <c r="A294" s="9">
        <f>IF(B294="","",InvoicePrefix&amp;TEXT(StartNumber+ROW()-2,"0000"))</f>
        <v/>
      </c>
      <c r="B294" s="9" t="n"/>
      <c r="C294" s="12" t="n"/>
      <c r="D294" s="12" t="n"/>
      <c r="E294" s="9" t="n"/>
      <c r="F294" s="10" t="n"/>
      <c r="G294" s="13">
        <f>TaxRate</f>
        <v/>
      </c>
      <c r="H294" s="10">
        <f>IF(B294="","",F294*G294)</f>
        <v/>
      </c>
      <c r="I294" s="10">
        <f>IF(B294="","",F294+H294)</f>
        <v/>
      </c>
      <c r="J294" s="9" t="n"/>
      <c r="K294" s="12" t="n"/>
      <c r="L294" s="9">
        <f>IF(B294="","",IF(AND(J294&lt;&gt;"Paid",TODAY()&gt;D294),TODAY()-D294,0))</f>
        <v/>
      </c>
      <c r="M294" s="9">
        <f>IF(C294="","",MONTH(C294))</f>
        <v/>
      </c>
      <c r="N294" s="9">
        <f>IF(C294="","",YEAR(C294))</f>
        <v/>
      </c>
    </row>
    <row r="295">
      <c r="A295" s="9">
        <f>IF(B295="","",InvoicePrefix&amp;TEXT(StartNumber+ROW()-2,"0000"))</f>
        <v/>
      </c>
      <c r="B295" s="9" t="n"/>
      <c r="C295" s="12" t="n"/>
      <c r="D295" s="12" t="n"/>
      <c r="E295" s="9" t="n"/>
      <c r="F295" s="10" t="n"/>
      <c r="G295" s="13">
        <f>TaxRate</f>
        <v/>
      </c>
      <c r="H295" s="10">
        <f>IF(B295="","",F295*G295)</f>
        <v/>
      </c>
      <c r="I295" s="10">
        <f>IF(B295="","",F295+H295)</f>
        <v/>
      </c>
      <c r="J295" s="9" t="n"/>
      <c r="K295" s="12" t="n"/>
      <c r="L295" s="9">
        <f>IF(B295="","",IF(AND(J295&lt;&gt;"Paid",TODAY()&gt;D295),TODAY()-D295,0))</f>
        <v/>
      </c>
      <c r="M295" s="9">
        <f>IF(C295="","",MONTH(C295))</f>
        <v/>
      </c>
      <c r="N295" s="9">
        <f>IF(C295="","",YEAR(C295))</f>
        <v/>
      </c>
    </row>
    <row r="296">
      <c r="A296" s="9">
        <f>IF(B296="","",InvoicePrefix&amp;TEXT(StartNumber+ROW()-2,"0000"))</f>
        <v/>
      </c>
      <c r="B296" s="9" t="n"/>
      <c r="C296" s="12" t="n"/>
      <c r="D296" s="12" t="n"/>
      <c r="E296" s="9" t="n"/>
      <c r="F296" s="10" t="n"/>
      <c r="G296" s="13">
        <f>TaxRate</f>
        <v/>
      </c>
      <c r="H296" s="10">
        <f>IF(B296="","",F296*G296)</f>
        <v/>
      </c>
      <c r="I296" s="10">
        <f>IF(B296="","",F296+H296)</f>
        <v/>
      </c>
      <c r="J296" s="9" t="n"/>
      <c r="K296" s="12" t="n"/>
      <c r="L296" s="9">
        <f>IF(B296="","",IF(AND(J296&lt;&gt;"Paid",TODAY()&gt;D296),TODAY()-D296,0))</f>
        <v/>
      </c>
      <c r="M296" s="9">
        <f>IF(C296="","",MONTH(C296))</f>
        <v/>
      </c>
      <c r="N296" s="9">
        <f>IF(C296="","",YEAR(C296))</f>
        <v/>
      </c>
    </row>
    <row r="297">
      <c r="A297" s="9">
        <f>IF(B297="","",InvoicePrefix&amp;TEXT(StartNumber+ROW()-2,"0000"))</f>
        <v/>
      </c>
      <c r="B297" s="9" t="n"/>
      <c r="C297" s="12" t="n"/>
      <c r="D297" s="12" t="n"/>
      <c r="E297" s="9" t="n"/>
      <c r="F297" s="10" t="n"/>
      <c r="G297" s="13">
        <f>TaxRate</f>
        <v/>
      </c>
      <c r="H297" s="10">
        <f>IF(B297="","",F297*G297)</f>
        <v/>
      </c>
      <c r="I297" s="10">
        <f>IF(B297="","",F297+H297)</f>
        <v/>
      </c>
      <c r="J297" s="9" t="n"/>
      <c r="K297" s="12" t="n"/>
      <c r="L297" s="9">
        <f>IF(B297="","",IF(AND(J297&lt;&gt;"Paid",TODAY()&gt;D297),TODAY()-D297,0))</f>
        <v/>
      </c>
      <c r="M297" s="9">
        <f>IF(C297="","",MONTH(C297))</f>
        <v/>
      </c>
      <c r="N297" s="9">
        <f>IF(C297="","",YEAR(C297))</f>
        <v/>
      </c>
    </row>
    <row r="298">
      <c r="A298" s="9">
        <f>IF(B298="","",InvoicePrefix&amp;TEXT(StartNumber+ROW()-2,"0000"))</f>
        <v/>
      </c>
      <c r="B298" s="9" t="n"/>
      <c r="C298" s="12" t="n"/>
      <c r="D298" s="12" t="n"/>
      <c r="E298" s="9" t="n"/>
      <c r="F298" s="10" t="n"/>
      <c r="G298" s="13">
        <f>TaxRate</f>
        <v/>
      </c>
      <c r="H298" s="10">
        <f>IF(B298="","",F298*G298)</f>
        <v/>
      </c>
      <c r="I298" s="10">
        <f>IF(B298="","",F298+H298)</f>
        <v/>
      </c>
      <c r="J298" s="9" t="n"/>
      <c r="K298" s="12" t="n"/>
      <c r="L298" s="9">
        <f>IF(B298="","",IF(AND(J298&lt;&gt;"Paid",TODAY()&gt;D298),TODAY()-D298,0))</f>
        <v/>
      </c>
      <c r="M298" s="9">
        <f>IF(C298="","",MONTH(C298))</f>
        <v/>
      </c>
      <c r="N298" s="9">
        <f>IF(C298="","",YEAR(C298))</f>
        <v/>
      </c>
    </row>
    <row r="299">
      <c r="A299" s="9">
        <f>IF(B299="","",InvoicePrefix&amp;TEXT(StartNumber+ROW()-2,"0000"))</f>
        <v/>
      </c>
      <c r="B299" s="9" t="n"/>
      <c r="C299" s="12" t="n"/>
      <c r="D299" s="12" t="n"/>
      <c r="E299" s="9" t="n"/>
      <c r="F299" s="10" t="n"/>
      <c r="G299" s="13">
        <f>TaxRate</f>
        <v/>
      </c>
      <c r="H299" s="10">
        <f>IF(B299="","",F299*G299)</f>
        <v/>
      </c>
      <c r="I299" s="10">
        <f>IF(B299="","",F299+H299)</f>
        <v/>
      </c>
      <c r="J299" s="9" t="n"/>
      <c r="K299" s="12" t="n"/>
      <c r="L299" s="9">
        <f>IF(B299="","",IF(AND(J299&lt;&gt;"Paid",TODAY()&gt;D299),TODAY()-D299,0))</f>
        <v/>
      </c>
      <c r="M299" s="9">
        <f>IF(C299="","",MONTH(C299))</f>
        <v/>
      </c>
      <c r="N299" s="9">
        <f>IF(C299="","",YEAR(C299))</f>
        <v/>
      </c>
    </row>
    <row r="300">
      <c r="A300" s="9">
        <f>IF(B300="","",InvoicePrefix&amp;TEXT(StartNumber+ROW()-2,"0000"))</f>
        <v/>
      </c>
      <c r="B300" s="9" t="n"/>
      <c r="C300" s="12" t="n"/>
      <c r="D300" s="12" t="n"/>
      <c r="E300" s="9" t="n"/>
      <c r="F300" s="10" t="n"/>
      <c r="G300" s="13">
        <f>TaxRate</f>
        <v/>
      </c>
      <c r="H300" s="10">
        <f>IF(B300="","",F300*G300)</f>
        <v/>
      </c>
      <c r="I300" s="10">
        <f>IF(B300="","",F300+H300)</f>
        <v/>
      </c>
      <c r="J300" s="9" t="n"/>
      <c r="K300" s="12" t="n"/>
      <c r="L300" s="9">
        <f>IF(B300="","",IF(AND(J300&lt;&gt;"Paid",TODAY()&gt;D300),TODAY()-D300,0))</f>
        <v/>
      </c>
      <c r="M300" s="9">
        <f>IF(C300="","",MONTH(C300))</f>
        <v/>
      </c>
      <c r="N300" s="9">
        <f>IF(C300="","",YEAR(C300))</f>
        <v/>
      </c>
    </row>
  </sheetData>
  <conditionalFormatting sqref="J2:J300">
    <cfRule type="cellIs" priority="1" operator="equal" dxfId="0">
      <formula>"Paid"</formula>
    </cfRule>
    <cfRule type="cellIs" priority="2" operator="equal" dxfId="1">
      <formula>"Unpaid"</formula>
    </cfRule>
    <cfRule type="cellIs" priority="3" operator="equal" dxfId="2">
      <formula>"Overdue"</formula>
    </cfRule>
  </conditionalFormatting>
  <conditionalFormatting sqref="L2:L300">
    <cfRule type="expression" priority="4" dxfId="2">
      <formula>L2&gt;0</formula>
    </cfRule>
  </conditionalFormatting>
  <dataValidations count="2">
    <dataValidation sqref="B2:B300" showDropDown="0" showInputMessage="0" showErrorMessage="0" allowBlank="1" type="list">
      <formula1>=ClientList</formula1>
    </dataValidation>
    <dataValidation sqref="J2:J300" showDropDown="0" showInputMessage="0" showErrorMessage="0" allowBlank="1" type="list">
      <formula1>"Paid,Unpaid,Overdue"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F22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18" customWidth="1" min="5" max="5"/>
    <col width="16" customWidth="1" min="6" max="6"/>
  </cols>
  <sheetData>
    <row r="2">
      <c r="B2" s="3" t="inlineStr">
        <is>
          <t>Select Invoice #:</t>
        </is>
      </c>
      <c r="C2" s="14" t="n">
        <v>3</v>
      </c>
      <c r="F2" s="15">
        <f>MATCH(InvoicePrefix&amp;TEXT(C2,"0000"),'Invoice Log'!$A:$A,0)</f>
        <v/>
      </c>
    </row>
    <row r="4">
      <c r="B4" s="16">
        <f>BizName</f>
        <v/>
      </c>
      <c r="E4" s="17" t="inlineStr">
        <is>
          <t>INVOICE</t>
        </is>
      </c>
    </row>
    <row r="5">
      <c r="B5" s="2">
        <f>BizEmail</f>
        <v/>
      </c>
      <c r="E5" s="3">
        <f>IFERROR("#"&amp;INDEX('Invoice Log'!$A:$A,$F$2),"")</f>
        <v/>
      </c>
    </row>
    <row r="8">
      <c r="B8" s="3" t="inlineStr">
        <is>
          <t>Bill To</t>
        </is>
      </c>
      <c r="E8" s="3" t="inlineStr">
        <is>
          <t>Issue Date</t>
        </is>
      </c>
      <c r="F8" s="3" t="inlineStr">
        <is>
          <t>Due Date</t>
        </is>
      </c>
    </row>
    <row r="9">
      <c r="B9" s="18">
        <f>IFERROR(INDEX('Invoice Log'!$B:$B,$F$2),"")</f>
        <v/>
      </c>
      <c r="E9" s="19">
        <f>IFERROR(INDEX('Invoice Log'!$C:$C,$F$2),"")</f>
        <v/>
      </c>
      <c r="F9" s="19">
        <f>IFERROR(INDEX('Invoice Log'!$D:$D,$F$2),"")</f>
        <v/>
      </c>
    </row>
    <row r="10">
      <c r="B10" s="18">
        <f>IFERROR(VLOOKUP(B9,Clients!$A:$C,2,FALSE),"")</f>
        <v/>
      </c>
    </row>
    <row r="13">
      <c r="A13" s="20" t="inlineStr">
        <is>
          <t>Description</t>
        </is>
      </c>
      <c r="B13" s="21" t="n"/>
      <c r="C13" s="22" t="n"/>
      <c r="D13" s="23" t="inlineStr">
        <is>
          <t>Amount</t>
        </is>
      </c>
      <c r="E13" s="23" t="inlineStr">
        <is>
          <t>Tax</t>
        </is>
      </c>
      <c r="F13" s="23" t="inlineStr">
        <is>
          <t>Total</t>
        </is>
      </c>
    </row>
    <row r="14">
      <c r="A14" s="9">
        <f>IFERROR(INDEX('Invoice Log'!$E:$E,$F$2),"")</f>
        <v/>
      </c>
      <c r="B14" s="11" t="n"/>
      <c r="C14" s="11" t="n"/>
      <c r="D14" s="24">
        <f>IFERROR(INDEX('Invoice Log'!$F:$F,$F$2),"")</f>
        <v/>
      </c>
      <c r="E14" s="24">
        <f>IFERROR(INDEX('Invoice Log'!$H:$H,$F$2),"")</f>
        <v/>
      </c>
      <c r="F14" s="24">
        <f>IFERROR(INDEX('Invoice Log'!$I:$I,$F$2),"")</f>
        <v/>
      </c>
    </row>
    <row r="17">
      <c r="E17" s="25" t="inlineStr">
        <is>
          <t>Total Due</t>
        </is>
      </c>
      <c r="F17" s="26">
        <f>IFERROR(INDEX('Invoice Log'!$I:$I,$F$2),"")</f>
        <v/>
      </c>
    </row>
    <row r="20">
      <c r="B20" s="3" t="inlineStr">
        <is>
          <t>Status:</t>
        </is>
      </c>
      <c r="C20">
        <f>IFERROR(INDEX('Invoice Log'!$J:$J,$F$2),"")</f>
        <v/>
      </c>
    </row>
    <row r="22">
      <c r="B22" s="27" t="inlineStr">
        <is>
          <t>Thank you for your business!</t>
        </is>
      </c>
    </row>
  </sheetData>
  <mergeCells count="2">
    <mergeCell ref="A14:C14"/>
    <mergeCell ref="A13:C13"/>
  </mergeCells>
  <dataValidations count="1">
    <dataValidation sqref="C2" showDropDown="0" showInputMessage="0" showErrorMessage="0" allowBlank="1" type="list">
      <formula1>='Invoice Log'!$A$2:$A$300</formula1>
    </dataValidation>
  </dataValidation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" customWidth="1" min="4" max="4"/>
    <col width="16" customWidth="1" min="5" max="5"/>
    <col width="16" customWidth="1" min="6" max="6"/>
    <col width="3" customWidth="1" min="7" max="7"/>
    <col width="20" customWidth="1" min="8" max="8"/>
  </cols>
  <sheetData>
    <row r="2">
      <c r="B2" s="1" t="inlineStr">
        <is>
          <t>Dashboard</t>
        </is>
      </c>
    </row>
    <row r="3">
      <c r="B3" s="2" t="inlineStr">
        <is>
          <t>Updates automatically from the Invoice Log</t>
        </is>
      </c>
    </row>
    <row r="6">
      <c r="B6" s="3" t="inlineStr">
        <is>
          <t>Total Invoiced (YTD)</t>
        </is>
      </c>
      <c r="D6" s="3" t="inlineStr">
        <is>
          <t>Total Paid (YTD)</t>
        </is>
      </c>
      <c r="F6" s="3" t="inlineStr">
        <is>
          <t>Outstanding</t>
        </is>
      </c>
      <c r="H6" s="3" t="inlineStr">
        <is>
          <t>Overdue</t>
        </is>
      </c>
    </row>
    <row r="7">
      <c r="B7" s="28">
        <f>SUMIFS('Invoice Log'!$I$2:$I$300,'Invoice Log'!$N$2:$N$300,YEAR(TODAY()))</f>
        <v/>
      </c>
      <c r="D7" s="29">
        <f>SUMIFS('Invoice Log'!$I$2:$I$300,'Invoice Log'!$N$2:$N$300,YEAR(TODAY()),'Invoice Log'!$J$2:$J$300,"Paid")</f>
        <v/>
      </c>
      <c r="F7" s="30">
        <f>SUMIFS('Invoice Log'!$I$2:$I$300,'Invoice Log'!$J$2:$J$300,"Unpaid")+SUMIFS('Invoice Log'!$I$2:$I$300,'Invoice Log'!$J$2:$J$300,"Overdue")</f>
        <v/>
      </c>
      <c r="H7" s="31">
        <f>SUMIFS('Invoice Log'!$I$2:$I$300,'Invoice Log'!$J$2:$J$300,"Overdue")</f>
        <v/>
      </c>
    </row>
    <row r="10">
      <c r="B10" s="3" t="inlineStr">
        <is>
          <t>Tax Set-Aside - This Quarter</t>
        </is>
      </c>
      <c r="D10" s="3" t="inlineStr">
        <is>
          <t>Set-Aside Rate</t>
        </is>
      </c>
    </row>
    <row r="11">
      <c r="B11" s="29">
        <f>SUMPRODUCT(('Invoice Log'!$N$2:$N$300=YEAR(TODAY()))*('Invoice Log'!$M$2:$M$300&gt;=ROUNDUP(MONTH(TODAY())/3,0)*3-2)*('Invoice Log'!$M$2:$M$300&lt;=ROUNDUP(MONTH(TODAY())/3,0)*3)*('Invoice Log'!$J$2:$J$300="Paid")*'Invoice Log'!$I$2:$I$300)*SetAsidePct</f>
        <v/>
      </c>
      <c r="D11" s="32">
        <f>SetAsidePct</f>
        <v/>
      </c>
    </row>
    <row r="14">
      <c r="B14" s="3" t="inlineStr">
        <is>
          <t>Month</t>
        </is>
      </c>
      <c r="C14" s="3" t="inlineStr">
        <is>
          <t>Paid Income</t>
        </is>
      </c>
    </row>
    <row r="15">
      <c r="B15" s="18" t="inlineStr">
        <is>
          <t>Jan</t>
        </is>
      </c>
      <c r="C15" s="33">
        <f>SUMIFS('Invoice Log'!$I$2:$I$300,'Invoice Log'!$M$2:$M$300,1,'Invoice Log'!$N$2:$N$300,YEAR(TODAY()),'Invoice Log'!$J$2:$J$300,"Paid")</f>
        <v/>
      </c>
    </row>
    <row r="16">
      <c r="B16" s="18" t="inlineStr">
        <is>
          <t>Feb</t>
        </is>
      </c>
      <c r="C16" s="33">
        <f>SUMIFS('Invoice Log'!$I$2:$I$300,'Invoice Log'!$M$2:$M$300,2,'Invoice Log'!$N$2:$N$300,YEAR(TODAY()),'Invoice Log'!$J$2:$J$300,"Paid")</f>
        <v/>
      </c>
    </row>
    <row r="17">
      <c r="B17" s="18" t="inlineStr">
        <is>
          <t>Mar</t>
        </is>
      </c>
      <c r="C17" s="33">
        <f>SUMIFS('Invoice Log'!$I$2:$I$300,'Invoice Log'!$M$2:$M$300,3,'Invoice Log'!$N$2:$N$300,YEAR(TODAY()),'Invoice Log'!$J$2:$J$300,"Paid")</f>
        <v/>
      </c>
    </row>
    <row r="18">
      <c r="B18" s="18" t="inlineStr">
        <is>
          <t>Apr</t>
        </is>
      </c>
      <c r="C18" s="33">
        <f>SUMIFS('Invoice Log'!$I$2:$I$300,'Invoice Log'!$M$2:$M$300,4,'Invoice Log'!$N$2:$N$300,YEAR(TODAY()),'Invoice Log'!$J$2:$J$300,"Paid")</f>
        <v/>
      </c>
    </row>
    <row r="19">
      <c r="B19" s="18" t="inlineStr">
        <is>
          <t>May</t>
        </is>
      </c>
      <c r="C19" s="33">
        <f>SUMIFS('Invoice Log'!$I$2:$I$300,'Invoice Log'!$M$2:$M$300,5,'Invoice Log'!$N$2:$N$300,YEAR(TODAY()),'Invoice Log'!$J$2:$J$300,"Paid")</f>
        <v/>
      </c>
    </row>
    <row r="20">
      <c r="B20" s="18" t="inlineStr">
        <is>
          <t>Jun</t>
        </is>
      </c>
      <c r="C20" s="33">
        <f>SUMIFS('Invoice Log'!$I$2:$I$300,'Invoice Log'!$M$2:$M$300,6,'Invoice Log'!$N$2:$N$300,YEAR(TODAY()),'Invoice Log'!$J$2:$J$300,"Paid")</f>
        <v/>
      </c>
    </row>
    <row r="21">
      <c r="B21" s="18" t="inlineStr">
        <is>
          <t>Jul</t>
        </is>
      </c>
      <c r="C21" s="33">
        <f>SUMIFS('Invoice Log'!$I$2:$I$300,'Invoice Log'!$M$2:$M$300,7,'Invoice Log'!$N$2:$N$300,YEAR(TODAY()),'Invoice Log'!$J$2:$J$300,"Paid")</f>
        <v/>
      </c>
    </row>
    <row r="22">
      <c r="B22" s="18" t="inlineStr">
        <is>
          <t>Aug</t>
        </is>
      </c>
      <c r="C22" s="33">
        <f>SUMIFS('Invoice Log'!$I$2:$I$300,'Invoice Log'!$M$2:$M$300,8,'Invoice Log'!$N$2:$N$300,YEAR(TODAY()),'Invoice Log'!$J$2:$J$300,"Paid")</f>
        <v/>
      </c>
    </row>
    <row r="23">
      <c r="B23" s="18" t="inlineStr">
        <is>
          <t>Sep</t>
        </is>
      </c>
      <c r="C23" s="33">
        <f>SUMIFS('Invoice Log'!$I$2:$I$300,'Invoice Log'!$M$2:$M$300,9,'Invoice Log'!$N$2:$N$300,YEAR(TODAY()),'Invoice Log'!$J$2:$J$300,"Paid")</f>
        <v/>
      </c>
    </row>
    <row r="24">
      <c r="B24" s="18" t="inlineStr">
        <is>
          <t>Oct</t>
        </is>
      </c>
      <c r="C24" s="33">
        <f>SUMIFS('Invoice Log'!$I$2:$I$300,'Invoice Log'!$M$2:$M$300,10,'Invoice Log'!$N$2:$N$300,YEAR(TODAY()),'Invoice Log'!$J$2:$J$300,"Paid")</f>
        <v/>
      </c>
    </row>
    <row r="25">
      <c r="B25" s="18" t="inlineStr">
        <is>
          <t>Nov</t>
        </is>
      </c>
      <c r="C25" s="33">
        <f>SUMIFS('Invoice Log'!$I$2:$I$300,'Invoice Log'!$M$2:$M$300,11,'Invoice Log'!$N$2:$N$300,YEAR(TODAY()),'Invoice Log'!$J$2:$J$300,"Paid")</f>
        <v/>
      </c>
    </row>
    <row r="26">
      <c r="B26" s="18" t="inlineStr">
        <is>
          <t>Dec</t>
        </is>
      </c>
      <c r="C26" s="33">
        <f>SUMIFS('Invoice Log'!$I$2:$I$300,'Invoice Log'!$M$2:$M$300,12,'Invoice Log'!$N$2:$N$300,YEAR(TODAY()),'Invoice Log'!$J$2:$J$300,"Paid")</f>
        <v/>
      </c>
    </row>
    <row r="29">
      <c r="B29" s="18" t="inlineStr">
        <is>
          <t>Paid</t>
        </is>
      </c>
      <c r="C29" s="33">
        <f>D7</f>
        <v/>
      </c>
    </row>
    <row r="30">
      <c r="B30" s="18" t="inlineStr">
        <is>
          <t>Unpaid (not yet overdue)</t>
        </is>
      </c>
      <c r="C30" s="33">
        <f>SUMIFS('Invoice Log'!$I$2:$I$300,'Invoice Log'!$J$2:$J$300,"Unpaid")</f>
        <v/>
      </c>
    </row>
    <row r="31">
      <c r="B31" s="18" t="inlineStr">
        <is>
          <t>Overdue</t>
        </is>
      </c>
      <c r="C31" s="33">
        <f>H7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2026-07-01T22:08:46Z</dcterms:created>
  <dcterms:modified xsi:type="dcterms:W3CDTF">2026-07-01T22:08:46Z</dcterms:modified>
</cp:coreProperties>
</file>